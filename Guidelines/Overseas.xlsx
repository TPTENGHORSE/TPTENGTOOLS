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MEDOGALVEZJorgeLui\Python Projects\Guidelines\"/>
    </mc:Choice>
  </mc:AlternateContent>
  <xr:revisionPtr revIDLastSave="0" documentId="13_ncr:1_{F72106DE-B572-4B7A-9EF6-99C3A3ABC55A}" xr6:coauthVersionLast="47" xr6:coauthVersionMax="47" xr10:uidLastSave="{00000000-0000-0000-0000-000000000000}"/>
  <bookViews>
    <workbookView xWindow="-120" yWindow="-120" windowWidth="29040" windowHeight="15720" xr2:uid="{65D3D085-A5D3-474F-88C4-88FE6617476E}"/>
  </bookViews>
  <sheets>
    <sheet name="budget 2026-20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P2" i="1"/>
  <c r="Q2" i="1"/>
  <c r="R2" i="1"/>
  <c r="P5" i="1"/>
  <c r="Q5" i="1"/>
  <c r="R5" i="1"/>
  <c r="P50" i="1"/>
  <c r="Q50" i="1"/>
  <c r="R50" i="1"/>
  <c r="P48" i="1"/>
  <c r="Q48" i="1"/>
  <c r="R48" i="1"/>
  <c r="P17" i="1" l="1"/>
  <c r="Q17" i="1"/>
  <c r="R17" i="1"/>
  <c r="P3" i="1" l="1"/>
  <c r="P10" i="1" l="1"/>
  <c r="Q10" i="1"/>
  <c r="R10" i="1"/>
  <c r="P46" i="1" l="1"/>
  <c r="Q46" i="1"/>
  <c r="R46" i="1"/>
  <c r="R24" i="1"/>
  <c r="R3" i="1"/>
  <c r="R4" i="1"/>
  <c r="R51" i="1"/>
  <c r="R49" i="1"/>
  <c r="R6" i="1"/>
  <c r="R7" i="1"/>
  <c r="R8" i="1"/>
  <c r="R36" i="1"/>
  <c r="R47" i="1"/>
  <c r="R37" i="1"/>
  <c r="R12" i="1"/>
  <c r="R13" i="1"/>
  <c r="R14" i="1"/>
  <c r="R15" i="1"/>
  <c r="R9" i="1"/>
  <c r="R18" i="1"/>
  <c r="R19" i="1"/>
  <c r="R20" i="1"/>
  <c r="R21" i="1"/>
  <c r="R22" i="1"/>
  <c r="R23" i="1"/>
  <c r="R25" i="1"/>
  <c r="R26" i="1"/>
  <c r="R27" i="1"/>
  <c r="R28" i="1"/>
  <c r="R29" i="1"/>
  <c r="R30" i="1"/>
  <c r="R31" i="1"/>
  <c r="R32" i="1"/>
  <c r="R33" i="1"/>
  <c r="R34" i="1"/>
  <c r="R35" i="1"/>
  <c r="R38" i="1"/>
  <c r="R43" i="1"/>
  <c r="R44" i="1"/>
  <c r="R39" i="1"/>
  <c r="R40" i="1"/>
  <c r="R11" i="1"/>
  <c r="R42" i="1"/>
  <c r="R41" i="1"/>
  <c r="R16" i="1"/>
  <c r="R45" i="1"/>
  <c r="P24" i="1"/>
  <c r="Q9" i="1"/>
  <c r="P9" i="1"/>
  <c r="P45" i="1"/>
  <c r="Q45" i="1"/>
  <c r="Q41" i="1" l="1"/>
  <c r="P41" i="1"/>
  <c r="P39" i="1"/>
  <c r="Q39" i="1"/>
  <c r="J57" i="1"/>
  <c r="Q16" i="1"/>
  <c r="P16" i="1"/>
  <c r="Q11" i="1"/>
  <c r="P11" i="1"/>
  <c r="Q19" i="1"/>
  <c r="P19" i="1"/>
  <c r="Q18" i="1"/>
  <c r="P18" i="1"/>
  <c r="Q44" i="1"/>
  <c r="P44" i="1"/>
  <c r="Q43" i="1"/>
  <c r="P43" i="1"/>
  <c r="Q38" i="1"/>
  <c r="P38" i="1"/>
  <c r="Q15" i="1"/>
  <c r="P15" i="1"/>
  <c r="Q14" i="1"/>
  <c r="P14" i="1"/>
  <c r="Q13" i="1"/>
  <c r="P13" i="1"/>
  <c r="Q21" i="1"/>
  <c r="P21" i="1"/>
  <c r="Q12" i="1"/>
  <c r="P12" i="1"/>
  <c r="Q27" i="1"/>
  <c r="P27" i="1"/>
  <c r="Q35" i="1"/>
  <c r="P35" i="1"/>
  <c r="Q32" i="1"/>
  <c r="P32" i="1"/>
  <c r="Q31" i="1"/>
  <c r="P31" i="1"/>
  <c r="Q30" i="1"/>
  <c r="P30" i="1"/>
  <c r="Q26" i="1"/>
  <c r="P26" i="1"/>
  <c r="Q25" i="1"/>
  <c r="P25" i="1"/>
  <c r="Q8" i="1"/>
  <c r="P8" i="1"/>
  <c r="Q24" i="1"/>
  <c r="Q29" i="1"/>
  <c r="P29" i="1"/>
  <c r="Q23" i="1"/>
  <c r="P23" i="1"/>
  <c r="Q40" i="1"/>
  <c r="P40" i="1"/>
  <c r="Q42" i="1"/>
  <c r="P42" i="1"/>
  <c r="Q34" i="1"/>
  <c r="P34" i="1"/>
  <c r="Q33" i="1"/>
  <c r="P33" i="1"/>
  <c r="Q7" i="1"/>
  <c r="P7" i="1"/>
  <c r="Q6" i="1"/>
  <c r="P6" i="1"/>
  <c r="Q37" i="1"/>
  <c r="P37" i="1"/>
  <c r="Q47" i="1"/>
  <c r="P47" i="1"/>
  <c r="Q36" i="1"/>
  <c r="P36" i="1"/>
  <c r="Q20" i="1"/>
  <c r="P20" i="1"/>
  <c r="Q28" i="1"/>
  <c r="P28" i="1"/>
  <c r="Q22" i="1"/>
  <c r="P22" i="1"/>
  <c r="Q49" i="1"/>
  <c r="P49" i="1"/>
  <c r="Q51" i="1"/>
  <c r="P51" i="1"/>
  <c r="Q4" i="1"/>
  <c r="P4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tc={1F5CFB63-B3D2-4BE2-919A-ACE244B3172F}</author>
    <author>tc={0EB3007F-A39B-4853-9E66-478725A59DF4}</author>
    <author>tc={5C16C703-1A61-4C25-B3A4-8B9F993752B3}</author>
    <author>tc={B0AA73B1-7A3B-4061-8901-A53EF2DADE5F}</author>
    <author>tc={9FE12D96-2ACE-4A53-B463-9F15E0812243}</author>
    <author>tc={9FB7DC3F-043D-4BA7-9025-0E63D057139B}</author>
    <author>tc={F641BD7F-8F57-4472-B64E-07875E1AAF0D}</author>
    <author>tc={9C0249CC-329D-4950-9AA4-F9A930DD5589}</author>
    <author>tc={5BD12540-B7DC-4F89-A03F-0D53BCB32E8E}</author>
    <author>tc={C3AD2D07-29EC-4AE1-B807-E9EF37B4A086}</author>
  </authors>
  <commentList>
    <comment ref="N7" authorId="0" shapeId="0" xr:uid="{1F5CFB63-B3D2-4BE2-919A-ACE244B317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
</t>
      </text>
    </comment>
    <comment ref="N8" authorId="1" shapeId="0" xr:uid="{0EB3007F-A39B-4853-9E66-478725A59D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</t>
      </text>
    </comment>
    <comment ref="N18" authorId="2" shapeId="0" xr:uid="{5C16C703-1A61-4C25-B3A4-8B9F993752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</t>
      </text>
    </comment>
    <comment ref="N19" authorId="3" shapeId="0" xr:uid="{B0AA73B1-7A3B-4061-8901-A53EF2DADE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</t>
      </text>
    </comment>
    <comment ref="N20" authorId="4" shapeId="0" xr:uid="{9FE12D96-2ACE-4A53-B463-9F15E08122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</t>
      </text>
    </comment>
    <comment ref="N24" authorId="5" shapeId="0" xr:uid="{9FB7DC3F-043D-4BA7-9025-0E63D05713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INCONSISTENCY OF FORECAST</t>
      </text>
    </comment>
    <comment ref="N26" authorId="6" shapeId="0" xr:uid="{F641BD7F-8F57-4472-B64E-07875E1AAF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
</t>
      </text>
    </comment>
    <comment ref="N30" authorId="7" shapeId="0" xr:uid="{9C0249CC-329D-4950-9AA4-F9A930DD558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
</t>
      </text>
    </comment>
    <comment ref="N33" authorId="8" shapeId="0" xr:uid="{5BD12540-B7DC-4F89-A03F-0D53BCB32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
</t>
      </text>
    </comment>
    <comment ref="N35" authorId="9" shapeId="0" xr:uid="{C3AD2D07-29EC-4AE1-B807-E9EF37B4A0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VOLUME FORECASTED</t>
      </text>
    </comment>
  </commentList>
</comments>
</file>

<file path=xl/sharedStrings.xml><?xml version="1.0" encoding="utf-8"?>
<sst xmlns="http://schemas.openxmlformats.org/spreadsheetml/2006/main" count="539" uniqueCount="85">
  <si>
    <t>Flow</t>
  </si>
  <si>
    <t>POL</t>
  </si>
  <si>
    <t>POL Country</t>
  </si>
  <si>
    <t>POD</t>
  </si>
  <si>
    <t>POD Country</t>
  </si>
  <si>
    <t>Origin</t>
  </si>
  <si>
    <t>Recipient</t>
  </si>
  <si>
    <t>Flow Type</t>
  </si>
  <si>
    <t>Commodity</t>
  </si>
  <si>
    <t>Carrier</t>
  </si>
  <si>
    <t>Transit time</t>
  </si>
  <si>
    <t>volume 20ft</t>
  </si>
  <si>
    <t>volume 40ft</t>
  </si>
  <si>
    <t>TEU volume</t>
  </si>
  <si>
    <t>Budget 20ft</t>
  </si>
  <si>
    <t>Budget 40ft</t>
  </si>
  <si>
    <t>Inbound</t>
  </si>
  <si>
    <t>ESVLC</t>
  </si>
  <si>
    <t>Spain</t>
  </si>
  <si>
    <t>BRPNG</t>
  </si>
  <si>
    <t>Brazil</t>
  </si>
  <si>
    <t>Horse plant</t>
  </si>
  <si>
    <t>Direct</t>
  </si>
  <si>
    <t>Parts</t>
  </si>
  <si>
    <t>TBD</t>
  </si>
  <si>
    <t>Outbound</t>
  </si>
  <si>
    <t>CLSAI</t>
  </si>
  <si>
    <t>Chile</t>
  </si>
  <si>
    <t>INENR</t>
  </si>
  <si>
    <t>India</t>
  </si>
  <si>
    <t>Renault</t>
  </si>
  <si>
    <t>Return</t>
  </si>
  <si>
    <t>CMA-CGM</t>
  </si>
  <si>
    <t>INNSA</t>
  </si>
  <si>
    <t>TRGEM</t>
  </si>
  <si>
    <t>Turkey</t>
  </si>
  <si>
    <t>JPNGO</t>
  </si>
  <si>
    <t>Japan</t>
  </si>
  <si>
    <t>Aichikikai</t>
  </si>
  <si>
    <t>Hapag Lloyd</t>
  </si>
  <si>
    <t>ROCND</t>
  </si>
  <si>
    <t>Romania</t>
  </si>
  <si>
    <t>JPYOK</t>
  </si>
  <si>
    <t>Nissan</t>
  </si>
  <si>
    <t>Maersk</t>
  </si>
  <si>
    <t>KRPUS</t>
  </si>
  <si>
    <t>Korea</t>
  </si>
  <si>
    <t>Renault ILN</t>
  </si>
  <si>
    <t>Indirect</t>
  </si>
  <si>
    <t>MSC</t>
  </si>
  <si>
    <t>ESALG</t>
  </si>
  <si>
    <t>PTLEI</t>
  </si>
  <si>
    <t>Portugal</t>
  </si>
  <si>
    <t>FRLEH</t>
  </si>
  <si>
    <t>France</t>
  </si>
  <si>
    <t>ARROS</t>
  </si>
  <si>
    <t>Argentina</t>
  </si>
  <si>
    <t>Steep</t>
  </si>
  <si>
    <t>parts</t>
  </si>
  <si>
    <t>TRIZT</t>
  </si>
  <si>
    <t>CNSHA</t>
  </si>
  <si>
    <t>China</t>
  </si>
  <si>
    <t>INMAA</t>
  </si>
  <si>
    <t>MAPTM</t>
  </si>
  <si>
    <t>Morocco</t>
  </si>
  <si>
    <t>ARKAS</t>
  </si>
  <si>
    <t>KWE</t>
  </si>
  <si>
    <t>ONE</t>
  </si>
  <si>
    <t>Mexico</t>
  </si>
  <si>
    <t>Evergreen</t>
  </si>
  <si>
    <t>indirect</t>
  </si>
  <si>
    <t>MXVER</t>
  </si>
  <si>
    <t>origin</t>
  </si>
  <si>
    <t>destination</t>
  </si>
  <si>
    <t>volume TEU</t>
  </si>
  <si>
    <t>ASIA</t>
  </si>
  <si>
    <t>EUROPE</t>
  </si>
  <si>
    <t>LATAM</t>
  </si>
  <si>
    <t>INKAT</t>
  </si>
  <si>
    <t>20ft RLT/HORSE</t>
  </si>
  <si>
    <t>40ft RLT/HORSE</t>
  </si>
  <si>
    <t>Infimotion</t>
  </si>
  <si>
    <t>Jinrui</t>
  </si>
  <si>
    <t>One</t>
  </si>
  <si>
    <t>NML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</si>
</sst>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C0A]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" fontId="2" fillId="0" borderId="0" xfId="0" applyNumberFormat="1" applyFont="1" applyAlignment="1">
      <alignment horizontal="left"/>
    </xf>
    <xf numFmtId="0" fontId="2" fillId="0" borderId="0" xfId="0" applyFont="1"/>
    <xf numFmtId="9" fontId="0" fillId="0" borderId="0" xfId="1" applyFont="1"/>
    <xf numFmtId="0" fontId="0" fillId="2" borderId="0" xfId="0" applyFill="1"/>
    <xf numFmtId="0" fontId="0" fillId="2" borderId="0" xfId="0" applyFill="1" applyAlignment="1">
      <alignment horizontal="right"/>
    </xf>
    <xf numFmtId="164" fontId="0" fillId="2" borderId="1" xfId="0" applyNumberFormat="1" applyFill="1" applyBorder="1"/>
    <xf numFmtId="164" fontId="0" fillId="3" borderId="1" xfId="0" applyNumberFormat="1" applyFill="1" applyBorder="1"/>
    <xf numFmtId="0" fontId="2" fillId="2" borderId="0" xfId="0" applyFont="1" applyFill="1" applyAlignment="1">
      <alignment horizontal="left"/>
    </xf>
    <xf numFmtId="164" fontId="0" fillId="2" borderId="0" xfId="0" applyNumberFormat="1" applyFill="1"/>
    <xf numFmtId="164" fontId="0" fillId="3" borderId="0" xfId="0" applyNumberFormat="1" applyFill="1"/>
    <xf numFmtId="164" fontId="0" fillId="3" borderId="2" xfId="0" applyNumberFormat="1" applyFill="1" applyBorder="1"/>
    <xf numFmtId="165" fontId="2" fillId="2" borderId="0" xfId="0" applyNumberFormat="1" applyFont="1" applyFill="1" applyAlignment="1">
      <alignment horizontal="right"/>
    </xf>
    <xf numFmtId="165" fontId="0" fillId="3" borderId="0" xfId="0" applyNumberFormat="1" applyFill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165" fontId="0" fillId="5" borderId="0" xfId="0" applyNumberFormat="1" applyFill="1"/>
    <xf numFmtId="164" fontId="0" fillId="5" borderId="1" xfId="0" applyNumberFormat="1" applyFill="1" applyBorder="1"/>
    <xf numFmtId="0" fontId="0" fillId="3" borderId="0" xfId="0" applyFill="1"/>
    <xf numFmtId="0" fontId="0" fillId="3" borderId="0" xfId="0" applyFill="1" applyAlignment="1">
      <alignment horizontal="right"/>
    </xf>
  </cellXfs>
  <cellStyles count="2">
    <cellStyle name="Normal" xfId="0" builtinId="0"/>
    <cellStyle name="Porcentaje" xfId="1" builtinId="5"/>
  </cellStyles>
  <dxfs count="13">
    <dxf>
      <numFmt numFmtId="164" formatCode="#,##0.00\ [$€-C0A]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#,##0.00\ [$€-C0A]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#,##0.00\ [$€-C0A]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#,##0.00\ [$€-C0A]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[$€-C0A]"/>
    </dxf>
    <dxf>
      <numFmt numFmtId="164" formatCode="#,##0.00\ [$€-C0A]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ZOS RECIO Luis" id="{15476877-2881-47FA-8080-A034A7B5E768}" userId="S::luis.pazos@horse.tech::ea2e7e4b-2799-4d48-ae0c-9a8df3c0a60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BD1759-AEF9-4AED-B09F-06AE0669F343}" name="SCOPES" displayName="SCOPES" ref="E56:G65" totalsRowShown="0">
  <autoFilter ref="E56:G65" xr:uid="{8A4C907C-3810-42DE-A71C-9651E93303E5}"/>
  <tableColumns count="3">
    <tableColumn id="1" xr3:uid="{A0FC81F4-B2A9-4502-8CB3-C7CC65E519DB}" name="origin"/>
    <tableColumn id="3" xr3:uid="{89BE21F7-0E4E-4524-818D-1E04C171A375}" name="destination"/>
    <tableColumn id="2" xr3:uid="{BD8027ED-6076-42C8-9343-C39BD6BD6F07}" name="volume TE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736591-13A2-4D91-AEAE-0FC58AED3572}" name="budget_complete" displayName="budget_complete" ref="A1:R51" totalsRowShown="0">
  <autoFilter ref="A1:R51" xr:uid="{FC04F1D6-273E-48D7-BF87-80E766D5FAE6}"/>
  <tableColumns count="18">
    <tableColumn id="19" xr3:uid="{1F7529B1-BFA9-43F9-8EF9-934ACA6D9FD8}" name="Flow"/>
    <tableColumn id="3" xr3:uid="{439DBC85-C545-487E-9BD8-E4586DB02649}" name="POL"/>
    <tableColumn id="6" xr3:uid="{A78F34EF-CD57-409D-BDAF-A333B228C98F}" name="POL Country"/>
    <tableColumn id="4" xr3:uid="{FA6B8B10-1ABB-4FC1-A136-D4A3C650DB92}" name="POD"/>
    <tableColumn id="20" xr3:uid="{1D7F9E90-0BE0-4C92-94CB-941934AB950B}" name="POD Country"/>
    <tableColumn id="14" xr3:uid="{490258D4-9BD1-454D-AD80-8771553810C6}" name="Origin" totalsRowDxfId="12"/>
    <tableColumn id="15" xr3:uid="{7608C234-10A5-4F53-A217-0A2EA1E3958A}" name="Recipient"/>
    <tableColumn id="16" xr3:uid="{6A231CAF-51A8-4C1F-984E-D8E9D870D308}" name="Flow Type"/>
    <tableColumn id="17" xr3:uid="{B020CFCA-D569-470B-A369-53C3F3765C82}" name="Commodity"/>
    <tableColumn id="18" xr3:uid="{9B3DE813-9292-4D30-9433-CA198E77E5CD}" name="Carrier"/>
    <tableColumn id="5" xr3:uid="{462D0CFC-F6D7-49EE-A300-AFF31AB35FBC}" name="Transit time" dataDxfId="11" totalsRowDxfId="10"/>
    <tableColumn id="12" xr3:uid="{163D2B4A-D0B1-4C2B-B611-011743C5366E}" name="20ft RLT/HORSE" dataDxfId="9"/>
    <tableColumn id="11" xr3:uid="{F462E219-6CCB-4792-922B-1E5F330CFFA1}" name="40ft RLT/HORSE" dataDxfId="8" totalsRowDxfId="7"/>
    <tableColumn id="7" xr3:uid="{8F0924C7-3EEF-42C4-8A6D-6D35CE8AE4E9}" name="volume 20ft" dataDxfId="6"/>
    <tableColumn id="8" xr3:uid="{0ED2EA07-B716-4310-9041-6C3EEAE7A5D6}" name="volume 40ft" dataDxfId="5"/>
    <tableColumn id="13" xr3:uid="{A83E737D-5063-452E-B5BE-73F20E252646}" name="TEU volume" dataDxfId="4">
      <calculatedColumnFormula>(budget_complete[[#This Row],[volume 40ft]]*2)+budget_complete[[#This Row],[volume 20ft]]</calculatedColumnFormula>
    </tableColumn>
    <tableColumn id="9" xr3:uid="{060CE170-1717-4E7B-918D-94849EDFD230}" name="Budget 20ft" dataDxfId="3" totalsRowDxfId="2">
      <calculatedColumnFormula>budget_complete[[#This Row],[20ft RLT/HORSE]]*budget_complete[[#This Row],[volume 20ft]]</calculatedColumnFormula>
    </tableColumn>
    <tableColumn id="10" xr3:uid="{679C40AD-D228-4521-BD52-706BC1A541FC}" name="Budget 40ft" dataDxfId="1" totalsRowDxfId="0">
      <calculatedColumnFormula>budget_complete[[#This Row],[40ft RLT/HORSE]]*budget_complete[[#This Row],[volume 40ft]]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" dT="2026-07-14T06:28:11.00" personId="{15476877-2881-47FA-8080-A034A7B5E768}" id="{1F5CFB63-B3D2-4BE2-919A-ACE244B3172F}">
    <text xml:space="preserve">NO VOLUME FORECASTED
</text>
  </threadedComment>
  <threadedComment ref="N8" dT="2026-07-14T06:28:16.63" personId="{15476877-2881-47FA-8080-A034A7B5E768}" id="{0EB3007F-A39B-4853-9E66-478725A59DF4}">
    <text>NO VOLUME FORECASTED</text>
  </threadedComment>
  <threadedComment ref="N18" dT="2026-07-14T06:34:55.83" personId="{15476877-2881-47FA-8080-A034A7B5E768}" id="{5C16C703-1A61-4C25-B3A4-8B9F993752B3}">
    <text>NO VOLUME FORECASTED</text>
  </threadedComment>
  <threadedComment ref="N19" dT="2026-07-14T06:36:25.20" personId="{15476877-2881-47FA-8080-A034A7B5E768}" id="{B0AA73B1-7A3B-4061-8901-A53EF2DADE5F}">
    <text>NO VOLUME FORECASTED</text>
  </threadedComment>
  <threadedComment ref="N20" dT="2026-07-14T08:26:46.18" personId="{15476877-2881-47FA-8080-A034A7B5E768}" id="{9FE12D96-2ACE-4A53-B463-9F15E0812243}">
    <text>NO VOLUME FORECASTED</text>
  </threadedComment>
  <threadedComment ref="N24" dT="2026-07-14T06:51:16.25" personId="{15476877-2881-47FA-8080-A034A7B5E768}" id="{9FB7DC3F-043D-4BA7-9025-0E63D057139B}">
    <text>INCONSISTENCY OF FORECAST</text>
  </threadedComment>
  <threadedComment ref="N26" dT="2026-07-14T07:40:42.65" personId="{15476877-2881-47FA-8080-A034A7B5E768}" id="{F641BD7F-8F57-4472-B64E-07875E1AAF0D}">
    <text xml:space="preserve">NO VOLUME FORECASTED
</text>
  </threadedComment>
  <threadedComment ref="N30" dT="2026-07-21T06:57:58.29" personId="{15476877-2881-47FA-8080-A034A7B5E768}" id="{9C0249CC-329D-4950-9AA4-F9A930DD5589}">
    <text xml:space="preserve">NO VOLUME FORECASTED
</text>
  </threadedComment>
  <threadedComment ref="N33" dT="2026-07-21T07:02:30.12" personId="{15476877-2881-47FA-8080-A034A7B5E768}" id="{5BD12540-B7DC-4F89-A03F-0D53BCB32E8E}">
    <text xml:space="preserve">NO VOLUME FORECASTED
</text>
  </threadedComment>
  <threadedComment ref="N35" dT="2026-07-21T07:02:03.70" personId="{15476877-2881-47FA-8080-A034A7B5E768}" id="{C3AD2D07-29EC-4AE1-B807-E9EF37B4A086}">
    <text>NO VOLUME FORECASTED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4122-4F42-43B7-AB73-686A0645F49D}">
  <sheetPr>
    <tabColor rgb="FF00B0F0"/>
  </sheetPr>
  <dimension ref="A1:R66"/>
  <sheetViews>
    <sheetView tabSelected="1" zoomScaleNormal="100" workbookViewId="0">
      <selection activeCell="F24" sqref="F24"/>
    </sheetView>
  </sheetViews>
  <sheetFormatPr baseColWidth="10" defaultColWidth="11.42578125" defaultRowHeight="15" customHeight="1" x14ac:dyDescent="0.25"/>
  <cols>
    <col min="1" max="1" width="16.5703125" customWidth="1"/>
    <col min="2" max="2" width="12.5703125" customWidth="1"/>
    <col min="3" max="3" width="9.5703125" customWidth="1"/>
    <col min="4" max="4" width="11" customWidth="1"/>
    <col min="5" max="5" width="15.42578125" customWidth="1"/>
    <col min="6" max="6" width="12.5703125" customWidth="1"/>
    <col min="7" max="7" width="14.85546875" customWidth="1"/>
    <col min="8" max="8" width="13" customWidth="1"/>
    <col min="9" max="9" width="21" customWidth="1"/>
    <col min="10" max="10" width="15.5703125" customWidth="1"/>
    <col min="11" max="11" width="17.140625" customWidth="1"/>
    <col min="12" max="13" width="17.140625" bestFit="1" customWidth="1"/>
    <col min="14" max="14" width="15.85546875" customWidth="1"/>
    <col min="15" max="15" width="17.42578125" customWidth="1"/>
    <col min="16" max="16" width="12.85546875" customWidth="1"/>
    <col min="17" max="17" width="12.5703125" customWidth="1"/>
    <col min="18" max="18" width="13.42578125" customWidth="1"/>
    <col min="19" max="19" width="14.140625" customWidth="1"/>
    <col min="20" max="20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79</v>
      </c>
      <c r="M1" s="1" t="s">
        <v>80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5" t="s">
        <v>25</v>
      </c>
      <c r="B2" s="5" t="s">
        <v>19</v>
      </c>
      <c r="C2" s="5" t="s">
        <v>20</v>
      </c>
      <c r="D2" s="5" t="s">
        <v>53</v>
      </c>
      <c r="E2" s="5" t="s">
        <v>54</v>
      </c>
      <c r="F2" s="5" t="s">
        <v>21</v>
      </c>
      <c r="G2" s="5" t="s">
        <v>30</v>
      </c>
      <c r="H2" s="5" t="s">
        <v>22</v>
      </c>
      <c r="I2" s="5" t="s">
        <v>31</v>
      </c>
      <c r="J2" s="5" t="s">
        <v>24</v>
      </c>
      <c r="K2" s="6">
        <v>20</v>
      </c>
      <c r="L2" s="8">
        <v>700</v>
      </c>
      <c r="M2" s="8">
        <v>1000</v>
      </c>
      <c r="N2" s="5">
        <v>2</v>
      </c>
      <c r="O2" s="5">
        <v>15</v>
      </c>
      <c r="P2" s="5">
        <f>(budget_complete[[#This Row],[volume 40ft]]*2)+budget_complete[[#This Row],[volume 20ft]]</f>
        <v>32</v>
      </c>
      <c r="Q2" s="8">
        <f>budget_complete[[#This Row],[20ft RLT/HORSE]]*budget_complete[[#This Row],[volume 20ft]]</f>
        <v>1400</v>
      </c>
      <c r="R2" s="8">
        <f>budget_complete[[#This Row],[40ft RLT/HORSE]]*budget_complete[[#This Row],[volume 40ft]]</f>
        <v>15000</v>
      </c>
    </row>
    <row r="3" spans="1:18" x14ac:dyDescent="0.25">
      <c r="A3" s="5" t="s">
        <v>25</v>
      </c>
      <c r="B3" s="5" t="s">
        <v>26</v>
      </c>
      <c r="C3" s="5" t="s">
        <v>27</v>
      </c>
      <c r="D3" s="9" t="s">
        <v>62</v>
      </c>
      <c r="E3" s="5" t="s">
        <v>29</v>
      </c>
      <c r="F3" s="5" t="s">
        <v>21</v>
      </c>
      <c r="G3" s="5" t="s">
        <v>30</v>
      </c>
      <c r="H3" s="5" t="s">
        <v>22</v>
      </c>
      <c r="I3" s="5" t="s">
        <v>31</v>
      </c>
      <c r="J3" s="5" t="s">
        <v>32</v>
      </c>
      <c r="K3" s="6">
        <v>44</v>
      </c>
      <c r="L3" s="7">
        <v>1144.8800000000001</v>
      </c>
      <c r="M3" s="8">
        <v>1124.6400000000001</v>
      </c>
      <c r="N3" s="5">
        <v>8</v>
      </c>
      <c r="O3" s="5">
        <v>45</v>
      </c>
      <c r="P3" s="5">
        <f>(budget_complete[[#This Row],[volume 40ft]]*2)+budget_complete[[#This Row],[volume 20ft]]</f>
        <v>98</v>
      </c>
      <c r="Q3" s="8">
        <f>budget_complete[[#This Row],[20ft RLT/HORSE]]*budget_complete[[#This Row],[volume 20ft]]</f>
        <v>9159.0400000000009</v>
      </c>
      <c r="R3" s="8">
        <f>budget_complete[[#This Row],[40ft RLT/HORSE]]*budget_complete[[#This Row],[volume 40ft]]</f>
        <v>50608.800000000003</v>
      </c>
    </row>
    <row r="4" spans="1:18" x14ac:dyDescent="0.25">
      <c r="A4" s="5" t="s">
        <v>25</v>
      </c>
      <c r="B4" s="5" t="s">
        <v>26</v>
      </c>
      <c r="C4" s="5" t="s">
        <v>27</v>
      </c>
      <c r="D4" s="5" t="s">
        <v>33</v>
      </c>
      <c r="E4" s="5" t="s">
        <v>29</v>
      </c>
      <c r="F4" s="5" t="s">
        <v>21</v>
      </c>
      <c r="G4" s="5" t="s">
        <v>30</v>
      </c>
      <c r="H4" s="5" t="s">
        <v>22</v>
      </c>
      <c r="I4" s="5" t="s">
        <v>31</v>
      </c>
      <c r="J4" s="5" t="s">
        <v>32</v>
      </c>
      <c r="K4" s="6">
        <v>39</v>
      </c>
      <c r="L4" s="7">
        <v>572.88</v>
      </c>
      <c r="M4" s="8">
        <v>1126.4000000000001</v>
      </c>
      <c r="N4" s="5">
        <v>8</v>
      </c>
      <c r="O4" s="5">
        <v>45</v>
      </c>
      <c r="P4" s="5">
        <f>(budget_complete[[#This Row],[volume 40ft]]*2)+budget_complete[[#This Row],[volume 20ft]]</f>
        <v>98</v>
      </c>
      <c r="Q4" s="8">
        <f>budget_complete[[#This Row],[20ft RLT/HORSE]]*budget_complete[[#This Row],[volume 20ft]]</f>
        <v>4583.04</v>
      </c>
      <c r="R4" s="8">
        <f>budget_complete[[#This Row],[40ft RLT/HORSE]]*budget_complete[[#This Row],[volume 40ft]]</f>
        <v>50688.000000000007</v>
      </c>
    </row>
    <row r="5" spans="1:18" x14ac:dyDescent="0.25">
      <c r="A5" s="5" t="s">
        <v>25</v>
      </c>
      <c r="B5" s="5" t="s">
        <v>26</v>
      </c>
      <c r="C5" s="5" t="s">
        <v>27</v>
      </c>
      <c r="D5" s="5" t="s">
        <v>53</v>
      </c>
      <c r="E5" s="5" t="s">
        <v>54</v>
      </c>
      <c r="F5" s="5" t="s">
        <v>21</v>
      </c>
      <c r="G5" s="5" t="s">
        <v>47</v>
      </c>
      <c r="H5" s="5" t="s">
        <v>22</v>
      </c>
      <c r="I5" s="5" t="s">
        <v>31</v>
      </c>
      <c r="J5" s="5" t="s">
        <v>24</v>
      </c>
      <c r="K5" s="6">
        <v>30</v>
      </c>
      <c r="L5" s="8">
        <v>900</v>
      </c>
      <c r="M5" s="8">
        <v>1500</v>
      </c>
      <c r="N5" s="5">
        <v>2</v>
      </c>
      <c r="O5" s="5">
        <v>20</v>
      </c>
      <c r="P5" s="5">
        <f>(budget_complete[[#This Row],[volume 40ft]]*2)+budget_complete[[#This Row],[volume 20ft]]</f>
        <v>42</v>
      </c>
      <c r="Q5" s="8">
        <f>budget_complete[[#This Row],[20ft RLT/HORSE]]*budget_complete[[#This Row],[volume 20ft]]</f>
        <v>1800</v>
      </c>
      <c r="R5" s="8">
        <f>budget_complete[[#This Row],[40ft RLT/HORSE]]*budget_complete[[#This Row],[volume 40ft]]</f>
        <v>30000</v>
      </c>
    </row>
    <row r="6" spans="1:18" x14ac:dyDescent="0.25">
      <c r="A6" s="5" t="s">
        <v>16</v>
      </c>
      <c r="B6" s="5" t="s">
        <v>19</v>
      </c>
      <c r="C6" s="5" t="s">
        <v>20</v>
      </c>
      <c r="D6" s="5" t="s">
        <v>59</v>
      </c>
      <c r="E6" s="5" t="s">
        <v>35</v>
      </c>
      <c r="F6" s="5" t="s">
        <v>47</v>
      </c>
      <c r="G6" s="5" t="s">
        <v>21</v>
      </c>
      <c r="H6" s="5" t="s">
        <v>48</v>
      </c>
      <c r="I6" s="5" t="s">
        <v>23</v>
      </c>
      <c r="J6" s="5" t="s">
        <v>44</v>
      </c>
      <c r="K6" s="6">
        <v>35</v>
      </c>
      <c r="L6" s="7">
        <v>1371</v>
      </c>
      <c r="M6" s="7">
        <v>1430</v>
      </c>
      <c r="N6" s="5">
        <v>2</v>
      </c>
      <c r="O6" s="5">
        <v>5</v>
      </c>
      <c r="P6" s="5">
        <f>(budget_complete[[#This Row],[volume 40ft]]*2)+budget_complete[[#This Row],[volume 20ft]]</f>
        <v>12</v>
      </c>
      <c r="Q6" s="8">
        <f>budget_complete[[#This Row],[20ft RLT/HORSE]]*budget_complete[[#This Row],[volume 20ft]]</f>
        <v>2742</v>
      </c>
      <c r="R6" s="8">
        <f>budget_complete[[#This Row],[40ft RLT/HORSE]]*budget_complete[[#This Row],[volume 40ft]]</f>
        <v>7150</v>
      </c>
    </row>
    <row r="7" spans="1:18" x14ac:dyDescent="0.25">
      <c r="A7" s="5" t="s">
        <v>16</v>
      </c>
      <c r="B7" s="5" t="s">
        <v>19</v>
      </c>
      <c r="C7" s="5" t="s">
        <v>20</v>
      </c>
      <c r="D7" s="5" t="s">
        <v>40</v>
      </c>
      <c r="E7" s="5" t="s">
        <v>41</v>
      </c>
      <c r="F7" s="5" t="s">
        <v>21</v>
      </c>
      <c r="G7" s="5" t="s">
        <v>21</v>
      </c>
      <c r="H7" s="5" t="s">
        <v>48</v>
      </c>
      <c r="I7" s="5" t="s">
        <v>23</v>
      </c>
      <c r="J7" s="5" t="s">
        <v>32</v>
      </c>
      <c r="K7" s="6">
        <v>53</v>
      </c>
      <c r="L7" s="7">
        <v>1933.36</v>
      </c>
      <c r="M7" s="8">
        <v>1379.84</v>
      </c>
      <c r="N7" s="5">
        <v>10</v>
      </c>
      <c r="O7" s="5">
        <v>2</v>
      </c>
      <c r="P7" s="5">
        <f>(budget_complete[[#This Row],[volume 40ft]]*2)+budget_complete[[#This Row],[volume 20ft]]</f>
        <v>14</v>
      </c>
      <c r="Q7" s="8">
        <f>budget_complete[[#This Row],[20ft RLT/HORSE]]*budget_complete[[#This Row],[volume 20ft]]</f>
        <v>19333.599999999999</v>
      </c>
      <c r="R7" s="8">
        <f>budget_complete[[#This Row],[40ft RLT/HORSE]]*budget_complete[[#This Row],[volume 40ft]]</f>
        <v>2759.68</v>
      </c>
    </row>
    <row r="8" spans="1:18" x14ac:dyDescent="0.25">
      <c r="A8" s="5" t="s">
        <v>16</v>
      </c>
      <c r="B8" s="5" t="s">
        <v>19</v>
      </c>
      <c r="C8" s="5" t="s">
        <v>20</v>
      </c>
      <c r="D8" s="5" t="s">
        <v>17</v>
      </c>
      <c r="E8" s="5" t="s">
        <v>18</v>
      </c>
      <c r="F8" s="5" t="s">
        <v>21</v>
      </c>
      <c r="G8" s="5" t="s">
        <v>21</v>
      </c>
      <c r="H8" s="5" t="s">
        <v>48</v>
      </c>
      <c r="I8" s="5" t="s">
        <v>23</v>
      </c>
      <c r="J8" s="5" t="s">
        <v>39</v>
      </c>
      <c r="K8" s="6">
        <v>31</v>
      </c>
      <c r="L8" s="13">
        <v>1318.24</v>
      </c>
      <c r="M8" s="13">
        <v>1594.56</v>
      </c>
      <c r="N8" s="5">
        <v>10</v>
      </c>
      <c r="O8" s="5">
        <v>2</v>
      </c>
      <c r="P8" s="5">
        <f>(budget_complete[[#This Row],[volume 40ft]]*2)+budget_complete[[#This Row],[volume 20ft]]</f>
        <v>14</v>
      </c>
      <c r="Q8" s="8">
        <f>budget_complete[[#This Row],[20ft RLT/HORSE]]*budget_complete[[#This Row],[volume 20ft]]</f>
        <v>13182.4</v>
      </c>
      <c r="R8" s="8">
        <f>budget_complete[[#This Row],[40ft RLT/HORSE]]*budget_complete[[#This Row],[volume 40ft]]</f>
        <v>3189.12</v>
      </c>
    </row>
    <row r="9" spans="1:18" x14ac:dyDescent="0.25">
      <c r="A9" s="5" t="s">
        <v>16</v>
      </c>
      <c r="B9" s="5" t="s">
        <v>60</v>
      </c>
      <c r="C9" s="5" t="s">
        <v>61</v>
      </c>
      <c r="D9" s="5" t="s">
        <v>17</v>
      </c>
      <c r="E9" s="5" t="s">
        <v>18</v>
      </c>
      <c r="F9" s="5" t="s">
        <v>82</v>
      </c>
      <c r="G9" s="5" t="s">
        <v>21</v>
      </c>
      <c r="H9" s="5" t="s">
        <v>22</v>
      </c>
      <c r="I9" s="5" t="s">
        <v>23</v>
      </c>
      <c r="J9" s="5" t="s">
        <v>49</v>
      </c>
      <c r="K9" s="6">
        <v>41</v>
      </c>
      <c r="L9" s="8">
        <v>2775</v>
      </c>
      <c r="M9" s="7">
        <v>3629</v>
      </c>
      <c r="N9" s="5">
        <v>2</v>
      </c>
      <c r="O9" s="5">
        <v>82</v>
      </c>
      <c r="P9" s="5">
        <f>(budget_complete[[#This Row],[volume 40ft]]*2)+budget_complete[[#This Row],[volume 20ft]]</f>
        <v>166</v>
      </c>
      <c r="Q9" s="8">
        <f>budget_complete[[#This Row],[20ft RLT/HORSE]]*budget_complete[[#This Row],[volume 20ft]]</f>
        <v>5550</v>
      </c>
      <c r="R9" s="8">
        <f>budget_complete[[#This Row],[40ft RLT/HORSE]]*budget_complete[[#This Row],[volume 40ft]]</f>
        <v>297578</v>
      </c>
    </row>
    <row r="10" spans="1:18" x14ac:dyDescent="0.25">
      <c r="A10" s="5" t="s">
        <v>16</v>
      </c>
      <c r="B10" s="5" t="s">
        <v>60</v>
      </c>
      <c r="C10" s="5" t="s">
        <v>61</v>
      </c>
      <c r="D10" s="5" t="s">
        <v>59</v>
      </c>
      <c r="E10" s="5" t="s">
        <v>35</v>
      </c>
      <c r="F10" s="5" t="s">
        <v>82</v>
      </c>
      <c r="G10" s="5" t="s">
        <v>21</v>
      </c>
      <c r="H10" s="5" t="s">
        <v>22</v>
      </c>
      <c r="I10" s="5" t="s">
        <v>23</v>
      </c>
      <c r="J10" s="5" t="s">
        <v>39</v>
      </c>
      <c r="K10" s="6">
        <v>45</v>
      </c>
      <c r="L10" s="7">
        <v>3200</v>
      </c>
      <c r="M10" s="7">
        <v>3200</v>
      </c>
      <c r="N10" s="5">
        <v>2</v>
      </c>
      <c r="O10" s="5">
        <v>60</v>
      </c>
      <c r="P10" s="5">
        <f>(budget_complete[[#This Row],[volume 40ft]]*2)+budget_complete[[#This Row],[volume 20ft]]</f>
        <v>122</v>
      </c>
      <c r="Q10" s="8">
        <f>budget_complete[[#This Row],[20ft RLT/HORSE]]*budget_complete[[#This Row],[volume 20ft]]</f>
        <v>6400</v>
      </c>
      <c r="R10" s="8">
        <f>budget_complete[[#This Row],[40ft RLT/HORSE]]*budget_complete[[#This Row],[volume 40ft]]</f>
        <v>192000</v>
      </c>
    </row>
    <row r="11" spans="1:18" x14ac:dyDescent="0.25">
      <c r="A11" s="5" t="s">
        <v>16</v>
      </c>
      <c r="B11" s="5" t="s">
        <v>60</v>
      </c>
      <c r="C11" s="5" t="s">
        <v>61</v>
      </c>
      <c r="D11" s="5" t="s">
        <v>51</v>
      </c>
      <c r="E11" s="5" t="s">
        <v>52</v>
      </c>
      <c r="F11" s="5" t="s">
        <v>81</v>
      </c>
      <c r="G11" s="9" t="s">
        <v>21</v>
      </c>
      <c r="H11" s="5" t="s">
        <v>22</v>
      </c>
      <c r="I11" s="5" t="s">
        <v>23</v>
      </c>
      <c r="J11" s="5" t="s">
        <v>39</v>
      </c>
      <c r="K11" s="6">
        <v>41</v>
      </c>
      <c r="L11" s="7">
        <v>3022</v>
      </c>
      <c r="M11" s="7">
        <v>4115</v>
      </c>
      <c r="N11" s="5">
        <v>2</v>
      </c>
      <c r="O11" s="5">
        <v>303</v>
      </c>
      <c r="P11" s="5">
        <f>(budget_complete[[#This Row],[volume 40ft]]*2)+budget_complete[[#This Row],[volume 20ft]]</f>
        <v>608</v>
      </c>
      <c r="Q11" s="8">
        <f>budget_complete[[#This Row],[20ft RLT/HORSE]]*budget_complete[[#This Row],[volume 20ft]]</f>
        <v>6044</v>
      </c>
      <c r="R11" s="8">
        <f>budget_complete[[#This Row],[40ft RLT/HORSE]]*budget_complete[[#This Row],[volume 40ft]]</f>
        <v>1246845</v>
      </c>
    </row>
    <row r="12" spans="1:18" x14ac:dyDescent="0.25">
      <c r="A12" s="5" t="s">
        <v>16</v>
      </c>
      <c r="B12" s="5" t="s">
        <v>60</v>
      </c>
      <c r="C12" s="5" t="s">
        <v>61</v>
      </c>
      <c r="D12" s="5" t="s">
        <v>59</v>
      </c>
      <c r="E12" s="5" t="s">
        <v>35</v>
      </c>
      <c r="F12" s="5" t="s">
        <v>66</v>
      </c>
      <c r="G12" s="5" t="s">
        <v>21</v>
      </c>
      <c r="H12" s="5" t="s">
        <v>48</v>
      </c>
      <c r="I12" s="5" t="s">
        <v>23</v>
      </c>
      <c r="J12" s="5" t="s">
        <v>32</v>
      </c>
      <c r="K12" s="6">
        <v>59</v>
      </c>
      <c r="L12" s="8">
        <v>2096.16</v>
      </c>
      <c r="M12" s="7">
        <v>2559.04</v>
      </c>
      <c r="N12" s="5">
        <v>2</v>
      </c>
      <c r="O12" s="5">
        <v>70</v>
      </c>
      <c r="P12" s="5">
        <f>(budget_complete[[#This Row],[volume 40ft]]*2)+budget_complete[[#This Row],[volume 20ft]]</f>
        <v>142</v>
      </c>
      <c r="Q12" s="8">
        <f>budget_complete[[#This Row],[20ft RLT/HORSE]]*budget_complete[[#This Row],[volume 20ft]]</f>
        <v>4192.32</v>
      </c>
      <c r="R12" s="8">
        <f>budget_complete[[#This Row],[40ft RLT/HORSE]]*budget_complete[[#This Row],[volume 40ft]]</f>
        <v>179132.79999999999</v>
      </c>
    </row>
    <row r="13" spans="1:18" x14ac:dyDescent="0.25">
      <c r="A13" s="5" t="s">
        <v>16</v>
      </c>
      <c r="B13" s="5" t="s">
        <v>60</v>
      </c>
      <c r="C13" s="5" t="s">
        <v>61</v>
      </c>
      <c r="D13" s="5" t="s">
        <v>17</v>
      </c>
      <c r="E13" s="5" t="s">
        <v>18</v>
      </c>
      <c r="F13" s="5" t="s">
        <v>66</v>
      </c>
      <c r="G13" s="5" t="s">
        <v>21</v>
      </c>
      <c r="H13" s="5" t="s">
        <v>48</v>
      </c>
      <c r="I13" s="5" t="s">
        <v>23</v>
      </c>
      <c r="J13" s="5" t="s">
        <v>39</v>
      </c>
      <c r="K13" s="6">
        <v>40</v>
      </c>
      <c r="L13" s="8">
        <v>2002</v>
      </c>
      <c r="M13" s="7">
        <v>2484.2400000000002</v>
      </c>
      <c r="N13" s="5">
        <v>2</v>
      </c>
      <c r="O13" s="5">
        <v>152</v>
      </c>
      <c r="P13" s="5">
        <f>(budget_complete[[#This Row],[volume 40ft]]*2)+budget_complete[[#This Row],[volume 20ft]]</f>
        <v>306</v>
      </c>
      <c r="Q13" s="8">
        <f>budget_complete[[#This Row],[20ft RLT/HORSE]]*budget_complete[[#This Row],[volume 20ft]]</f>
        <v>4004</v>
      </c>
      <c r="R13" s="8">
        <f>budget_complete[[#This Row],[40ft RLT/HORSE]]*budget_complete[[#This Row],[volume 40ft]]</f>
        <v>377604.48000000004</v>
      </c>
    </row>
    <row r="14" spans="1:18" x14ac:dyDescent="0.25">
      <c r="A14" s="5" t="s">
        <v>16</v>
      </c>
      <c r="B14" s="5" t="s">
        <v>60</v>
      </c>
      <c r="C14" s="5" t="s">
        <v>61</v>
      </c>
      <c r="D14" s="5" t="s">
        <v>19</v>
      </c>
      <c r="E14" s="5" t="s">
        <v>20</v>
      </c>
      <c r="F14" s="5" t="s">
        <v>66</v>
      </c>
      <c r="G14" s="5" t="s">
        <v>21</v>
      </c>
      <c r="H14" s="5" t="s">
        <v>48</v>
      </c>
      <c r="I14" s="5" t="s">
        <v>23</v>
      </c>
      <c r="J14" s="5" t="s">
        <v>67</v>
      </c>
      <c r="K14" s="6">
        <v>34</v>
      </c>
      <c r="L14" s="13">
        <v>1201.2</v>
      </c>
      <c r="M14" s="13">
        <v>1317.36</v>
      </c>
      <c r="N14" s="5">
        <v>6</v>
      </c>
      <c r="O14" s="5">
        <v>2</v>
      </c>
      <c r="P14" s="5">
        <f>(budget_complete[[#This Row],[volume 40ft]]*2)+budget_complete[[#This Row],[volume 20ft]]</f>
        <v>10</v>
      </c>
      <c r="Q14" s="8">
        <f>budget_complete[[#This Row],[20ft RLT/HORSE]]*budget_complete[[#This Row],[volume 20ft]]</f>
        <v>7207.2000000000007</v>
      </c>
      <c r="R14" s="8">
        <f>budget_complete[[#This Row],[40ft RLT/HORSE]]*budget_complete[[#This Row],[volume 40ft]]</f>
        <v>2634.72</v>
      </c>
    </row>
    <row r="15" spans="1:18" x14ac:dyDescent="0.25">
      <c r="A15" s="5" t="s">
        <v>16</v>
      </c>
      <c r="B15" s="5" t="s">
        <v>60</v>
      </c>
      <c r="C15" s="5" t="s">
        <v>61</v>
      </c>
      <c r="D15" s="5" t="s">
        <v>40</v>
      </c>
      <c r="E15" s="5" t="s">
        <v>41</v>
      </c>
      <c r="F15" s="5" t="s">
        <v>66</v>
      </c>
      <c r="G15" s="5" t="s">
        <v>21</v>
      </c>
      <c r="H15" s="5" t="s">
        <v>48</v>
      </c>
      <c r="I15" s="5" t="s">
        <v>23</v>
      </c>
      <c r="J15" s="5" t="s">
        <v>49</v>
      </c>
      <c r="K15" s="6">
        <v>50</v>
      </c>
      <c r="L15" s="8">
        <v>1866.48</v>
      </c>
      <c r="M15" s="7">
        <v>2530</v>
      </c>
      <c r="N15" s="5">
        <v>2</v>
      </c>
      <c r="O15" s="5">
        <f>50+63</f>
        <v>113</v>
      </c>
      <c r="P15" s="5">
        <f>(budget_complete[[#This Row],[volume 40ft]]*2)+budget_complete[[#This Row],[volume 20ft]]</f>
        <v>228</v>
      </c>
      <c r="Q15" s="8">
        <f>budget_complete[[#This Row],[20ft RLT/HORSE]]*budget_complete[[#This Row],[volume 20ft]]</f>
        <v>3732.96</v>
      </c>
      <c r="R15" s="8">
        <f>budget_complete[[#This Row],[40ft RLT/HORSE]]*budget_complete[[#This Row],[volume 40ft]]</f>
        <v>285890</v>
      </c>
    </row>
    <row r="16" spans="1:18" x14ac:dyDescent="0.25">
      <c r="A16" s="5" t="s">
        <v>16</v>
      </c>
      <c r="B16" s="5" t="s">
        <v>60</v>
      </c>
      <c r="C16" s="5" t="s">
        <v>61</v>
      </c>
      <c r="D16" s="5" t="s">
        <v>50</v>
      </c>
      <c r="E16" s="5" t="s">
        <v>18</v>
      </c>
      <c r="F16" s="5" t="s">
        <v>81</v>
      </c>
      <c r="G16" s="5" t="s">
        <v>21</v>
      </c>
      <c r="H16" s="5" t="s">
        <v>22</v>
      </c>
      <c r="I16" s="5" t="s">
        <v>58</v>
      </c>
      <c r="J16" s="5" t="s">
        <v>49</v>
      </c>
      <c r="K16" s="6">
        <v>41</v>
      </c>
      <c r="L16" s="8">
        <v>3022</v>
      </c>
      <c r="M16" s="7">
        <v>4115</v>
      </c>
      <c r="N16" s="5">
        <v>2</v>
      </c>
      <c r="O16" s="5">
        <v>191</v>
      </c>
      <c r="P16" s="5">
        <f>(budget_complete[[#This Row],[volume 40ft]]*2)+budget_complete[[#This Row],[volume 20ft]]</f>
        <v>384</v>
      </c>
      <c r="Q16" s="8">
        <f>budget_complete[[#This Row],[20ft RLT/HORSE]]*budget_complete[[#This Row],[volume 20ft]]</f>
        <v>6044</v>
      </c>
      <c r="R16" s="8">
        <f>budget_complete[[#This Row],[40ft RLT/HORSE]]*budget_complete[[#This Row],[volume 40ft]]</f>
        <v>785965</v>
      </c>
    </row>
    <row r="17" spans="1:18" x14ac:dyDescent="0.25">
      <c r="A17" s="5" t="s">
        <v>16</v>
      </c>
      <c r="B17" s="5" t="s">
        <v>60</v>
      </c>
      <c r="C17" s="5" t="s">
        <v>61</v>
      </c>
      <c r="D17" s="5" t="s">
        <v>59</v>
      </c>
      <c r="E17" s="5" t="s">
        <v>35</v>
      </c>
      <c r="F17" s="5" t="s">
        <v>82</v>
      </c>
      <c r="G17" s="5" t="s">
        <v>21</v>
      </c>
      <c r="H17" s="5" t="s">
        <v>22</v>
      </c>
      <c r="I17" s="5" t="s">
        <v>23</v>
      </c>
      <c r="J17" s="5" t="s">
        <v>39</v>
      </c>
      <c r="K17" s="6">
        <v>35</v>
      </c>
      <c r="L17" s="8">
        <v>2800</v>
      </c>
      <c r="M17" s="8">
        <v>3300</v>
      </c>
      <c r="N17" s="5">
        <v>2</v>
      </c>
      <c r="O17" s="5">
        <v>100</v>
      </c>
      <c r="P17" s="5">
        <f>(budget_complete[[#This Row],[volume 40ft]]*2)+budget_complete[[#This Row],[volume 20ft]]</f>
        <v>202</v>
      </c>
      <c r="Q17" s="8">
        <f>budget_complete[[#This Row],[20ft RLT/HORSE]]*budget_complete[[#This Row],[volume 20ft]]</f>
        <v>5600</v>
      </c>
      <c r="R17" s="8">
        <f>budget_complete[[#This Row],[40ft RLT/HORSE]]*budget_complete[[#This Row],[volume 40ft]]</f>
        <v>330000</v>
      </c>
    </row>
    <row r="18" spans="1:18" x14ac:dyDescent="0.25">
      <c r="A18" s="5" t="s">
        <v>16</v>
      </c>
      <c r="B18" s="5" t="s">
        <v>60</v>
      </c>
      <c r="C18" s="5" t="s">
        <v>61</v>
      </c>
      <c r="D18" s="5" t="s">
        <v>17</v>
      </c>
      <c r="E18" s="5" t="s">
        <v>18</v>
      </c>
      <c r="F18" s="5" t="s">
        <v>47</v>
      </c>
      <c r="G18" s="5" t="s">
        <v>21</v>
      </c>
      <c r="H18" s="5" t="s">
        <v>70</v>
      </c>
      <c r="I18" s="5" t="s">
        <v>23</v>
      </c>
      <c r="J18" s="5" t="s">
        <v>39</v>
      </c>
      <c r="K18" s="6">
        <v>39</v>
      </c>
      <c r="L18" s="7">
        <v>2002</v>
      </c>
      <c r="M18" s="8">
        <v>2484.2400000000002</v>
      </c>
      <c r="N18" s="5">
        <v>2</v>
      </c>
      <c r="O18" s="5">
        <v>10</v>
      </c>
      <c r="P18" s="5">
        <f>(budget_complete[[#This Row],[volume 40ft]]*2)+budget_complete[[#This Row],[volume 20ft]]</f>
        <v>22</v>
      </c>
      <c r="Q18" s="8">
        <f>budget_complete[[#This Row],[20ft RLT/HORSE]]*budget_complete[[#This Row],[volume 20ft]]</f>
        <v>4004</v>
      </c>
      <c r="R18" s="8">
        <f>budget_complete[[#This Row],[40ft RLT/HORSE]]*budget_complete[[#This Row],[volume 40ft]]</f>
        <v>24842.400000000001</v>
      </c>
    </row>
    <row r="19" spans="1:18" x14ac:dyDescent="0.25">
      <c r="A19" s="5" t="s">
        <v>16</v>
      </c>
      <c r="B19" s="5" t="s">
        <v>60</v>
      </c>
      <c r="C19" s="5" t="s">
        <v>61</v>
      </c>
      <c r="D19" s="5" t="s">
        <v>59</v>
      </c>
      <c r="E19" s="5" t="s">
        <v>35</v>
      </c>
      <c r="F19" s="5" t="s">
        <v>47</v>
      </c>
      <c r="G19" s="5" t="s">
        <v>21</v>
      </c>
      <c r="H19" s="5" t="s">
        <v>48</v>
      </c>
      <c r="I19" s="5" t="s">
        <v>23</v>
      </c>
      <c r="J19" s="5" t="s">
        <v>39</v>
      </c>
      <c r="K19" s="6">
        <v>45</v>
      </c>
      <c r="L19" s="8">
        <v>2096.16</v>
      </c>
      <c r="M19" s="7">
        <v>2559.04</v>
      </c>
      <c r="N19" s="5">
        <v>2</v>
      </c>
      <c r="O19" s="5">
        <v>10</v>
      </c>
      <c r="P19" s="5">
        <f>(budget_complete[[#This Row],[volume 40ft]]*2)+budget_complete[[#This Row],[volume 20ft]]</f>
        <v>22</v>
      </c>
      <c r="Q19" s="8">
        <f>budget_complete[[#This Row],[20ft RLT/HORSE]]*budget_complete[[#This Row],[volume 20ft]]</f>
        <v>4192.32</v>
      </c>
      <c r="R19" s="8">
        <f>budget_complete[[#This Row],[40ft RLT/HORSE]]*budget_complete[[#This Row],[volume 40ft]]</f>
        <v>25590.400000000001</v>
      </c>
    </row>
    <row r="20" spans="1:18" x14ac:dyDescent="0.25">
      <c r="A20" s="5" t="s">
        <v>16</v>
      </c>
      <c r="B20" s="5" t="s">
        <v>17</v>
      </c>
      <c r="C20" s="5" t="s">
        <v>18</v>
      </c>
      <c r="D20" s="5" t="s">
        <v>26</v>
      </c>
      <c r="E20" s="5" t="s">
        <v>27</v>
      </c>
      <c r="F20" s="5" t="s">
        <v>47</v>
      </c>
      <c r="G20" s="5" t="s">
        <v>21</v>
      </c>
      <c r="H20" s="5" t="s">
        <v>48</v>
      </c>
      <c r="I20" s="5" t="s">
        <v>23</v>
      </c>
      <c r="J20" s="5" t="s">
        <v>32</v>
      </c>
      <c r="K20" s="6">
        <v>41</v>
      </c>
      <c r="L20" s="8">
        <v>1063.92</v>
      </c>
      <c r="M20" s="8">
        <v>1582.24</v>
      </c>
      <c r="N20" s="5">
        <v>2</v>
      </c>
      <c r="O20" s="5">
        <v>10</v>
      </c>
      <c r="P20" s="5">
        <f>(budget_complete[[#This Row],[volume 40ft]]*2)+budget_complete[[#This Row],[volume 20ft]]</f>
        <v>22</v>
      </c>
      <c r="Q20" s="8">
        <f>budget_complete[[#This Row],[20ft RLT/HORSE]]*budget_complete[[#This Row],[volume 20ft]]</f>
        <v>2127.84</v>
      </c>
      <c r="R20" s="8">
        <f>budget_complete[[#This Row],[40ft RLT/HORSE]]*budget_complete[[#This Row],[volume 40ft]]</f>
        <v>15822.4</v>
      </c>
    </row>
    <row r="21" spans="1:18" x14ac:dyDescent="0.25">
      <c r="A21" s="5" t="s">
        <v>16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47</v>
      </c>
      <c r="G21" s="5" t="s">
        <v>21</v>
      </c>
      <c r="H21" s="5" t="s">
        <v>48</v>
      </c>
      <c r="I21" s="5" t="s">
        <v>23</v>
      </c>
      <c r="J21" s="5" t="s">
        <v>39</v>
      </c>
      <c r="K21" s="6">
        <v>21</v>
      </c>
      <c r="L21" s="7">
        <v>761.2</v>
      </c>
      <c r="M21" s="8">
        <v>789.36</v>
      </c>
      <c r="N21" s="5">
        <v>2</v>
      </c>
      <c r="O21" s="5">
        <v>248</v>
      </c>
      <c r="P21" s="5">
        <f>(budget_complete[[#This Row],[volume 40ft]]*2)+budget_complete[[#This Row],[volume 20ft]]</f>
        <v>498</v>
      </c>
      <c r="Q21" s="8">
        <f>budget_complete[[#This Row],[20ft RLT/HORSE]]*budget_complete[[#This Row],[volume 20ft]]</f>
        <v>1522.4</v>
      </c>
      <c r="R21" s="8">
        <f>budget_complete[[#This Row],[40ft RLT/HORSE]]*budget_complete[[#This Row],[volume 40ft]]</f>
        <v>195761.28</v>
      </c>
    </row>
    <row r="22" spans="1:18" x14ac:dyDescent="0.25">
      <c r="A22" s="5" t="s">
        <v>16</v>
      </c>
      <c r="B22" s="5" t="s">
        <v>28</v>
      </c>
      <c r="C22" s="5" t="s">
        <v>29</v>
      </c>
      <c r="D22" s="5" t="s">
        <v>26</v>
      </c>
      <c r="E22" s="5" t="s">
        <v>27</v>
      </c>
      <c r="F22" s="5" t="s">
        <v>47</v>
      </c>
      <c r="G22" s="5" t="s">
        <v>21</v>
      </c>
      <c r="H22" s="5" t="s">
        <v>48</v>
      </c>
      <c r="I22" s="5" t="s">
        <v>23</v>
      </c>
      <c r="J22" s="5" t="s">
        <v>83</v>
      </c>
      <c r="K22" s="6">
        <v>68</v>
      </c>
      <c r="L22" s="7">
        <v>1386</v>
      </c>
      <c r="M22" s="8">
        <v>1570.8</v>
      </c>
      <c r="N22" s="5">
        <v>25</v>
      </c>
      <c r="O22" s="5">
        <v>110</v>
      </c>
      <c r="P22" s="5">
        <f>(budget_complete[[#This Row],[volume 40ft]]*2)+budget_complete[[#This Row],[volume 20ft]]</f>
        <v>245</v>
      </c>
      <c r="Q22" s="8">
        <f>budget_complete[[#This Row],[20ft RLT/HORSE]]*budget_complete[[#This Row],[volume 20ft]]</f>
        <v>34650</v>
      </c>
      <c r="R22" s="8">
        <f>budget_complete[[#This Row],[40ft RLT/HORSE]]*budget_complete[[#This Row],[volume 40ft]]</f>
        <v>172788</v>
      </c>
    </row>
    <row r="23" spans="1:18" x14ac:dyDescent="0.25">
      <c r="A23" s="5" t="s">
        <v>16</v>
      </c>
      <c r="B23" s="5" t="s">
        <v>28</v>
      </c>
      <c r="C23" s="5" t="s">
        <v>29</v>
      </c>
      <c r="D23" s="5" t="s">
        <v>53</v>
      </c>
      <c r="E23" s="5" t="s">
        <v>54</v>
      </c>
      <c r="F23" s="5" t="s">
        <v>47</v>
      </c>
      <c r="G23" s="5" t="s">
        <v>21</v>
      </c>
      <c r="H23" s="5" t="s">
        <v>48</v>
      </c>
      <c r="I23" s="5" t="s">
        <v>23</v>
      </c>
      <c r="J23" s="5" t="s">
        <v>32</v>
      </c>
      <c r="K23" s="6">
        <v>41</v>
      </c>
      <c r="L23" s="8">
        <v>2079</v>
      </c>
      <c r="M23" s="7">
        <v>3024</v>
      </c>
      <c r="N23" s="5">
        <v>2</v>
      </c>
      <c r="O23" s="5">
        <v>5</v>
      </c>
      <c r="P23" s="5">
        <f>(budget_complete[[#This Row],[volume 40ft]]*2)+budget_complete[[#This Row],[volume 20ft]]</f>
        <v>12</v>
      </c>
      <c r="Q23" s="8">
        <f>budget_complete[[#This Row],[20ft RLT/HORSE]]*budget_complete[[#This Row],[volume 20ft]]</f>
        <v>4158</v>
      </c>
      <c r="R23" s="8">
        <f>budget_complete[[#This Row],[40ft RLT/HORSE]]*budget_complete[[#This Row],[volume 40ft]]</f>
        <v>15120</v>
      </c>
    </row>
    <row r="24" spans="1:18" x14ac:dyDescent="0.25">
      <c r="A24" s="5" t="s">
        <v>16</v>
      </c>
      <c r="B24" s="5" t="s">
        <v>28</v>
      </c>
      <c r="C24" s="5" t="s">
        <v>29</v>
      </c>
      <c r="D24" s="5" t="s">
        <v>40</v>
      </c>
      <c r="E24" s="5" t="s">
        <v>41</v>
      </c>
      <c r="F24" s="5" t="s">
        <v>47</v>
      </c>
      <c r="G24" s="5" t="s">
        <v>21</v>
      </c>
      <c r="H24" s="5" t="s">
        <v>48</v>
      </c>
      <c r="I24" s="5" t="s">
        <v>23</v>
      </c>
      <c r="J24" s="5" t="s">
        <v>32</v>
      </c>
      <c r="K24" s="6">
        <v>35</v>
      </c>
      <c r="L24" s="8">
        <v>1708.96</v>
      </c>
      <c r="M24" s="7">
        <v>1841.84</v>
      </c>
      <c r="N24" s="5">
        <v>48</v>
      </c>
      <c r="O24" s="5">
        <v>2</v>
      </c>
      <c r="P24" s="5">
        <f>(budget_complete[[#This Row],[volume 40ft]]*2)+budget_complete[[#This Row],[volume 20ft]]</f>
        <v>52</v>
      </c>
      <c r="Q24" s="8">
        <f>budget_complete[[#This Row],[20ft RLT/HORSE]]*budget_complete[[#This Row],[volume 20ft]]</f>
        <v>82030.080000000002</v>
      </c>
      <c r="R24" s="8">
        <f>budget_complete[[#This Row],[40ft RLT/HORSE]]*budget_complete[[#This Row],[volume 40ft]]</f>
        <v>3683.68</v>
      </c>
    </row>
    <row r="25" spans="1:18" x14ac:dyDescent="0.25">
      <c r="A25" s="5" t="s">
        <v>16</v>
      </c>
      <c r="B25" s="5" t="s">
        <v>28</v>
      </c>
      <c r="C25" s="5" t="s">
        <v>29</v>
      </c>
      <c r="D25" s="5" t="s">
        <v>59</v>
      </c>
      <c r="E25" s="5" t="s">
        <v>35</v>
      </c>
      <c r="F25" s="5" t="s">
        <v>47</v>
      </c>
      <c r="G25" s="5" t="s">
        <v>21</v>
      </c>
      <c r="H25" s="5" t="s">
        <v>48</v>
      </c>
      <c r="I25" s="5" t="s">
        <v>23</v>
      </c>
      <c r="J25" s="5" t="s">
        <v>44</v>
      </c>
      <c r="K25" s="6">
        <v>38</v>
      </c>
      <c r="L25" s="8">
        <v>1969.44</v>
      </c>
      <c r="M25" s="7">
        <v>2212.3200000000002</v>
      </c>
      <c r="N25" s="5">
        <v>8</v>
      </c>
      <c r="O25" s="5">
        <v>2</v>
      </c>
      <c r="P25" s="5">
        <f>(budget_complete[[#This Row],[volume 40ft]]*2)+budget_complete[[#This Row],[volume 20ft]]</f>
        <v>12</v>
      </c>
      <c r="Q25" s="8">
        <f>budget_complete[[#This Row],[20ft RLT/HORSE]]*budget_complete[[#This Row],[volume 20ft]]</f>
        <v>15755.52</v>
      </c>
      <c r="R25" s="8">
        <f>budget_complete[[#This Row],[40ft RLT/HORSE]]*budget_complete[[#This Row],[volume 40ft]]</f>
        <v>4424.6400000000003</v>
      </c>
    </row>
    <row r="26" spans="1:18" x14ac:dyDescent="0.25">
      <c r="A26" s="5" t="s">
        <v>16</v>
      </c>
      <c r="B26" s="5" t="s">
        <v>28</v>
      </c>
      <c r="C26" s="5" t="s">
        <v>29</v>
      </c>
      <c r="D26" s="5" t="s">
        <v>17</v>
      </c>
      <c r="E26" s="5" t="s">
        <v>18</v>
      </c>
      <c r="F26" s="5" t="s">
        <v>47</v>
      </c>
      <c r="G26" s="5" t="s">
        <v>21</v>
      </c>
      <c r="H26" s="5" t="s">
        <v>48</v>
      </c>
      <c r="I26" s="5" t="s">
        <v>23</v>
      </c>
      <c r="J26" s="5" t="s">
        <v>32</v>
      </c>
      <c r="K26" s="6">
        <v>45</v>
      </c>
      <c r="L26" s="7">
        <v>1569.04</v>
      </c>
      <c r="M26" s="8">
        <v>1872.64</v>
      </c>
      <c r="N26" s="5">
        <v>2</v>
      </c>
      <c r="O26" s="5">
        <v>10</v>
      </c>
      <c r="P26" s="5">
        <f>(budget_complete[[#This Row],[volume 40ft]]*2)+budget_complete[[#This Row],[volume 20ft]]</f>
        <v>22</v>
      </c>
      <c r="Q26" s="8">
        <f>budget_complete[[#This Row],[20ft RLT/HORSE]]*budget_complete[[#This Row],[volume 20ft]]</f>
        <v>3138.08</v>
      </c>
      <c r="R26" s="8">
        <f>budget_complete[[#This Row],[40ft RLT/HORSE]]*budget_complete[[#This Row],[volume 40ft]]</f>
        <v>18726.400000000001</v>
      </c>
    </row>
    <row r="27" spans="1:18" x14ac:dyDescent="0.25">
      <c r="A27" s="5" t="s">
        <v>16</v>
      </c>
      <c r="B27" s="9" t="s">
        <v>78</v>
      </c>
      <c r="C27" s="5" t="s">
        <v>29</v>
      </c>
      <c r="D27" s="5" t="s">
        <v>19</v>
      </c>
      <c r="E27" s="5" t="s">
        <v>20</v>
      </c>
      <c r="F27" s="5" t="s">
        <v>47</v>
      </c>
      <c r="G27" s="5" t="s">
        <v>21</v>
      </c>
      <c r="H27" s="5" t="s">
        <v>48</v>
      </c>
      <c r="I27" s="5" t="s">
        <v>23</v>
      </c>
      <c r="J27" s="5" t="s">
        <v>49</v>
      </c>
      <c r="K27" s="6">
        <v>33</v>
      </c>
      <c r="L27" s="8">
        <v>1201.2</v>
      </c>
      <c r="M27" s="7">
        <v>1340.24</v>
      </c>
      <c r="N27" s="5">
        <v>25</v>
      </c>
      <c r="O27" s="5">
        <v>70</v>
      </c>
      <c r="P27" s="5">
        <f>(budget_complete[[#This Row],[volume 40ft]]*2)+budget_complete[[#This Row],[volume 20ft]]</f>
        <v>165</v>
      </c>
      <c r="Q27" s="8">
        <f>budget_complete[[#This Row],[20ft RLT/HORSE]]*budget_complete[[#This Row],[volume 20ft]]</f>
        <v>30030</v>
      </c>
      <c r="R27" s="8">
        <f>budget_complete[[#This Row],[40ft RLT/HORSE]]*budget_complete[[#This Row],[volume 40ft]]</f>
        <v>93816.8</v>
      </c>
    </row>
    <row r="28" spans="1:18" x14ac:dyDescent="0.25">
      <c r="A28" s="5" t="s">
        <v>16</v>
      </c>
      <c r="B28" s="5" t="s">
        <v>33</v>
      </c>
      <c r="C28" s="5" t="s">
        <v>29</v>
      </c>
      <c r="D28" s="5" t="s">
        <v>26</v>
      </c>
      <c r="E28" s="5" t="s">
        <v>27</v>
      </c>
      <c r="F28" s="5" t="s">
        <v>47</v>
      </c>
      <c r="G28" s="5" t="s">
        <v>21</v>
      </c>
      <c r="H28" s="5" t="s">
        <v>48</v>
      </c>
      <c r="I28" s="5" t="s">
        <v>23</v>
      </c>
      <c r="J28" s="5" t="s">
        <v>49</v>
      </c>
      <c r="K28" s="6">
        <v>61</v>
      </c>
      <c r="L28" s="8">
        <v>1232</v>
      </c>
      <c r="M28" s="7">
        <v>1400.96</v>
      </c>
      <c r="N28" s="5">
        <v>25</v>
      </c>
      <c r="O28" s="5">
        <v>110</v>
      </c>
      <c r="P28" s="5">
        <f>(budget_complete[[#This Row],[volume 40ft]]*2)+budget_complete[[#This Row],[volume 20ft]]</f>
        <v>245</v>
      </c>
      <c r="Q28" s="8">
        <f>budget_complete[[#This Row],[20ft RLT/HORSE]]*budget_complete[[#This Row],[volume 20ft]]</f>
        <v>30800</v>
      </c>
      <c r="R28" s="8">
        <f>budget_complete[[#This Row],[40ft RLT/HORSE]]*budget_complete[[#This Row],[volume 40ft]]</f>
        <v>154105.60000000001</v>
      </c>
    </row>
    <row r="29" spans="1:18" x14ac:dyDescent="0.25">
      <c r="A29" s="5" t="s">
        <v>16</v>
      </c>
      <c r="B29" s="5" t="s">
        <v>33</v>
      </c>
      <c r="C29" s="5" t="s">
        <v>29</v>
      </c>
      <c r="D29" s="5" t="s">
        <v>19</v>
      </c>
      <c r="E29" s="5" t="s">
        <v>20</v>
      </c>
      <c r="F29" s="5" t="s">
        <v>47</v>
      </c>
      <c r="G29" s="5" t="s">
        <v>21</v>
      </c>
      <c r="H29" s="5" t="s">
        <v>48</v>
      </c>
      <c r="I29" s="5" t="s">
        <v>23</v>
      </c>
      <c r="J29" s="5" t="s">
        <v>49</v>
      </c>
      <c r="K29" s="6">
        <v>36</v>
      </c>
      <c r="L29" s="7">
        <v>1201.2</v>
      </c>
      <c r="M29" s="8">
        <v>1340.24</v>
      </c>
      <c r="N29" s="5">
        <v>25</v>
      </c>
      <c r="O29" s="5">
        <v>70</v>
      </c>
      <c r="P29" s="5">
        <f>(budget_complete[[#This Row],[volume 40ft]]*2)+budget_complete[[#This Row],[volume 20ft]]</f>
        <v>165</v>
      </c>
      <c r="Q29" s="8">
        <f>budget_complete[[#This Row],[20ft RLT/HORSE]]*budget_complete[[#This Row],[volume 20ft]]</f>
        <v>30030</v>
      </c>
      <c r="R29" s="8">
        <f>budget_complete[[#This Row],[40ft RLT/HORSE]]*budget_complete[[#This Row],[volume 40ft]]</f>
        <v>93816.8</v>
      </c>
    </row>
    <row r="30" spans="1:18" x14ac:dyDescent="0.25">
      <c r="A30" s="5" t="s">
        <v>16</v>
      </c>
      <c r="B30" s="5" t="s">
        <v>33</v>
      </c>
      <c r="C30" s="5" t="s">
        <v>29</v>
      </c>
      <c r="D30" s="5" t="s">
        <v>17</v>
      </c>
      <c r="E30" s="5" t="s">
        <v>18</v>
      </c>
      <c r="F30" s="5" t="s">
        <v>47</v>
      </c>
      <c r="G30" s="5" t="s">
        <v>21</v>
      </c>
      <c r="H30" s="5" t="s">
        <v>48</v>
      </c>
      <c r="I30" s="5" t="s">
        <v>23</v>
      </c>
      <c r="J30" s="5" t="s">
        <v>32</v>
      </c>
      <c r="K30" s="6">
        <v>30</v>
      </c>
      <c r="L30" s="8">
        <v>929.28</v>
      </c>
      <c r="M30" s="7">
        <v>1363.1200000000001</v>
      </c>
      <c r="N30" s="5">
        <v>2</v>
      </c>
      <c r="O30" s="5">
        <v>10</v>
      </c>
      <c r="P30" s="5">
        <f>(budget_complete[[#This Row],[volume 40ft]]*2)+budget_complete[[#This Row],[volume 20ft]]</f>
        <v>22</v>
      </c>
      <c r="Q30" s="8">
        <f>budget_complete[[#This Row],[20ft RLT/HORSE]]*budget_complete[[#This Row],[volume 20ft]]</f>
        <v>1858.56</v>
      </c>
      <c r="R30" s="8">
        <f>budget_complete[[#This Row],[40ft RLT/HORSE]]*budget_complete[[#This Row],[volume 40ft]]</f>
        <v>13631.2</v>
      </c>
    </row>
    <row r="31" spans="1:18" x14ac:dyDescent="0.25">
      <c r="A31" s="5" t="s">
        <v>16</v>
      </c>
      <c r="B31" s="5" t="s">
        <v>33</v>
      </c>
      <c r="C31" s="5" t="s">
        <v>29</v>
      </c>
      <c r="D31" s="9" t="s">
        <v>59</v>
      </c>
      <c r="E31" s="5" t="s">
        <v>35</v>
      </c>
      <c r="F31" s="5" t="s">
        <v>47</v>
      </c>
      <c r="G31" s="5" t="s">
        <v>21</v>
      </c>
      <c r="H31" s="5" t="s">
        <v>48</v>
      </c>
      <c r="I31" s="5" t="s">
        <v>23</v>
      </c>
      <c r="J31" s="5" t="s">
        <v>32</v>
      </c>
      <c r="K31" s="6">
        <v>48</v>
      </c>
      <c r="L31" s="7">
        <v>1027.8399999999999</v>
      </c>
      <c r="M31" s="8">
        <v>1434.4</v>
      </c>
      <c r="N31" s="5">
        <v>8</v>
      </c>
      <c r="O31" s="5">
        <v>2</v>
      </c>
      <c r="P31" s="5">
        <f>(budget_complete[[#This Row],[volume 40ft]]*2)+budget_complete[[#This Row],[volume 20ft]]</f>
        <v>12</v>
      </c>
      <c r="Q31" s="8">
        <f>budget_complete[[#This Row],[20ft RLT/HORSE]]*budget_complete[[#This Row],[volume 20ft]]</f>
        <v>8222.7199999999993</v>
      </c>
      <c r="R31" s="8">
        <f>budget_complete[[#This Row],[40ft RLT/HORSE]]*budget_complete[[#This Row],[volume 40ft]]</f>
        <v>2868.8</v>
      </c>
    </row>
    <row r="32" spans="1:18" x14ac:dyDescent="0.25">
      <c r="A32" s="5" t="s">
        <v>16</v>
      </c>
      <c r="B32" s="5" t="s">
        <v>33</v>
      </c>
      <c r="C32" s="5" t="s">
        <v>29</v>
      </c>
      <c r="D32" s="5" t="s">
        <v>53</v>
      </c>
      <c r="E32" s="5" t="s">
        <v>54</v>
      </c>
      <c r="F32" s="5" t="s">
        <v>47</v>
      </c>
      <c r="G32" s="5" t="s">
        <v>21</v>
      </c>
      <c r="H32" s="5" t="s">
        <v>48</v>
      </c>
      <c r="I32" s="5" t="s">
        <v>23</v>
      </c>
      <c r="J32" s="5" t="s">
        <v>44</v>
      </c>
      <c r="K32" s="6">
        <v>42</v>
      </c>
      <c r="L32" s="8">
        <v>2785</v>
      </c>
      <c r="M32" s="7">
        <v>2785</v>
      </c>
      <c r="N32" s="5">
        <v>2</v>
      </c>
      <c r="O32" s="5">
        <v>2</v>
      </c>
      <c r="P32" s="5">
        <f>(budget_complete[[#This Row],[volume 40ft]]*2)+budget_complete[[#This Row],[volume 20ft]]</f>
        <v>6</v>
      </c>
      <c r="Q32" s="8">
        <f>budget_complete[[#This Row],[20ft RLT/HORSE]]*budget_complete[[#This Row],[volume 20ft]]</f>
        <v>5570</v>
      </c>
      <c r="R32" s="8">
        <f>budget_complete[[#This Row],[40ft RLT/HORSE]]*budget_complete[[#This Row],[volume 40ft]]</f>
        <v>5570</v>
      </c>
    </row>
    <row r="33" spans="1:18" x14ac:dyDescent="0.25">
      <c r="A33" s="5" t="s">
        <v>16</v>
      </c>
      <c r="B33" s="5" t="s">
        <v>45</v>
      </c>
      <c r="C33" s="5" t="s">
        <v>46</v>
      </c>
      <c r="D33" s="5" t="s">
        <v>59</v>
      </c>
      <c r="E33" s="5" t="s">
        <v>35</v>
      </c>
      <c r="F33" s="5" t="s">
        <v>47</v>
      </c>
      <c r="G33" s="5" t="s">
        <v>21</v>
      </c>
      <c r="H33" s="5" t="s">
        <v>48</v>
      </c>
      <c r="I33" s="5" t="s">
        <v>23</v>
      </c>
      <c r="J33" s="5" t="s">
        <v>32</v>
      </c>
      <c r="K33" s="6">
        <v>60</v>
      </c>
      <c r="L33" s="8">
        <v>1648.24</v>
      </c>
      <c r="M33" s="7">
        <v>2314.4</v>
      </c>
      <c r="N33" s="5">
        <v>2</v>
      </c>
      <c r="O33" s="5">
        <v>5</v>
      </c>
      <c r="P33" s="5">
        <f>(budget_complete[[#This Row],[volume 40ft]]*2)+budget_complete[[#This Row],[volume 20ft]]</f>
        <v>12</v>
      </c>
      <c r="Q33" s="8">
        <f>budget_complete[[#This Row],[20ft RLT/HORSE]]*budget_complete[[#This Row],[volume 20ft]]</f>
        <v>3296.48</v>
      </c>
      <c r="R33" s="8">
        <f>budget_complete[[#This Row],[40ft RLT/HORSE]]*budget_complete[[#This Row],[volume 40ft]]</f>
        <v>11572</v>
      </c>
    </row>
    <row r="34" spans="1:18" x14ac:dyDescent="0.25">
      <c r="A34" s="5" t="s">
        <v>16</v>
      </c>
      <c r="B34" s="5" t="s">
        <v>45</v>
      </c>
      <c r="C34" s="5" t="s">
        <v>46</v>
      </c>
      <c r="D34" s="5" t="s">
        <v>19</v>
      </c>
      <c r="E34" s="5" t="s">
        <v>20</v>
      </c>
      <c r="F34" s="5" t="s">
        <v>47</v>
      </c>
      <c r="G34" s="5" t="s">
        <v>21</v>
      </c>
      <c r="H34" s="5" t="s">
        <v>48</v>
      </c>
      <c r="I34" s="5" t="s">
        <v>23</v>
      </c>
      <c r="J34" s="5" t="s">
        <v>32</v>
      </c>
      <c r="K34" s="6">
        <v>43</v>
      </c>
      <c r="L34" s="7">
        <v>1370.16</v>
      </c>
      <c r="M34" s="8">
        <v>1850.64</v>
      </c>
      <c r="N34" s="5">
        <v>8</v>
      </c>
      <c r="O34" s="5">
        <v>5</v>
      </c>
      <c r="P34" s="5">
        <f>(budget_complete[[#This Row],[volume 40ft]]*2)+budget_complete[[#This Row],[volume 20ft]]</f>
        <v>18</v>
      </c>
      <c r="Q34" s="8">
        <f>budget_complete[[#This Row],[20ft RLT/HORSE]]*budget_complete[[#This Row],[volume 20ft]]</f>
        <v>10961.28</v>
      </c>
      <c r="R34" s="8">
        <f>budget_complete[[#This Row],[40ft RLT/HORSE]]*budget_complete[[#This Row],[volume 40ft]]</f>
        <v>9253.2000000000007</v>
      </c>
    </row>
    <row r="35" spans="1:18" x14ac:dyDescent="0.25">
      <c r="A35" s="5" t="s">
        <v>16</v>
      </c>
      <c r="B35" s="5" t="s">
        <v>63</v>
      </c>
      <c r="C35" s="5" t="s">
        <v>64</v>
      </c>
      <c r="D35" s="5" t="s">
        <v>40</v>
      </c>
      <c r="E35" s="5" t="s">
        <v>41</v>
      </c>
      <c r="F35" s="5" t="s">
        <v>47</v>
      </c>
      <c r="G35" s="5" t="s">
        <v>21</v>
      </c>
      <c r="H35" s="5" t="s">
        <v>48</v>
      </c>
      <c r="I35" s="5" t="s">
        <v>23</v>
      </c>
      <c r="J35" s="5" t="s">
        <v>65</v>
      </c>
      <c r="K35" s="6">
        <v>25</v>
      </c>
      <c r="L35" s="7">
        <v>496.32</v>
      </c>
      <c r="M35" s="8">
        <v>854.48</v>
      </c>
      <c r="N35" s="5">
        <v>2</v>
      </c>
      <c r="O35" s="5">
        <v>10</v>
      </c>
      <c r="P35" s="5">
        <f>(budget_complete[[#This Row],[volume 40ft]]*2)+budget_complete[[#This Row],[volume 20ft]]</f>
        <v>22</v>
      </c>
      <c r="Q35" s="8">
        <f>budget_complete[[#This Row],[20ft RLT/HORSE]]*budget_complete[[#This Row],[volume 20ft]]</f>
        <v>992.64</v>
      </c>
      <c r="R35" s="8">
        <f>budget_complete[[#This Row],[40ft RLT/HORSE]]*budget_complete[[#This Row],[volume 40ft]]</f>
        <v>8544.7999999999993</v>
      </c>
    </row>
    <row r="36" spans="1:18" x14ac:dyDescent="0.25">
      <c r="A36" s="5" t="s">
        <v>25</v>
      </c>
      <c r="B36" s="5" t="s">
        <v>50</v>
      </c>
      <c r="C36" s="5" t="s">
        <v>18</v>
      </c>
      <c r="D36" s="5" t="s">
        <v>42</v>
      </c>
      <c r="E36" s="5" t="s">
        <v>37</v>
      </c>
      <c r="F36" s="5" t="s">
        <v>21</v>
      </c>
      <c r="G36" s="5" t="s">
        <v>43</v>
      </c>
      <c r="H36" s="5" t="s">
        <v>22</v>
      </c>
      <c r="I36" s="5" t="s">
        <v>31</v>
      </c>
      <c r="J36" s="5" t="s">
        <v>32</v>
      </c>
      <c r="K36" s="6">
        <v>48</v>
      </c>
      <c r="L36" s="7">
        <v>1070</v>
      </c>
      <c r="M36" s="8">
        <v>1250</v>
      </c>
      <c r="N36" s="5">
        <v>2</v>
      </c>
      <c r="O36" s="5">
        <v>37</v>
      </c>
      <c r="P36" s="5">
        <f>(budget_complete[[#This Row],[volume 40ft]]*2)+budget_complete[[#This Row],[volume 20ft]]</f>
        <v>76</v>
      </c>
      <c r="Q36" s="8">
        <f>budget_complete[[#This Row],[20ft RLT/HORSE]]*budget_complete[[#This Row],[volume 20ft]]</f>
        <v>2140</v>
      </c>
      <c r="R36" s="8">
        <f>budget_complete[[#This Row],[40ft RLT/HORSE]]*budget_complete[[#This Row],[volume 40ft]]</f>
        <v>46250</v>
      </c>
    </row>
    <row r="37" spans="1:18" x14ac:dyDescent="0.25">
      <c r="A37" s="5" t="s">
        <v>16</v>
      </c>
      <c r="B37" s="5" t="s">
        <v>53</v>
      </c>
      <c r="C37" s="5" t="s">
        <v>54</v>
      </c>
      <c r="D37" s="5" t="s">
        <v>55</v>
      </c>
      <c r="E37" s="5" t="s">
        <v>56</v>
      </c>
      <c r="F37" s="5" t="s">
        <v>57</v>
      </c>
      <c r="G37" s="5" t="s">
        <v>21</v>
      </c>
      <c r="H37" s="9" t="s">
        <v>22</v>
      </c>
      <c r="I37" s="5" t="s">
        <v>58</v>
      </c>
      <c r="J37" s="5" t="s">
        <v>49</v>
      </c>
      <c r="K37" s="6">
        <v>45</v>
      </c>
      <c r="L37" s="7">
        <v>1810</v>
      </c>
      <c r="M37" s="7">
        <v>1930</v>
      </c>
      <c r="N37" s="5">
        <v>2</v>
      </c>
      <c r="O37" s="5">
        <v>10</v>
      </c>
      <c r="P37" s="5">
        <f>(budget_complete[[#This Row],[volume 40ft]]*2)+budget_complete[[#This Row],[volume 20ft]]</f>
        <v>22</v>
      </c>
      <c r="Q37" s="8">
        <f>budget_complete[[#This Row],[20ft RLT/HORSE]]*budget_complete[[#This Row],[volume 20ft]]</f>
        <v>3620</v>
      </c>
      <c r="R37" s="8">
        <f>budget_complete[[#This Row],[40ft RLT/HORSE]]*budget_complete[[#This Row],[volume 40ft]]</f>
        <v>19300</v>
      </c>
    </row>
    <row r="38" spans="1:18" x14ac:dyDescent="0.25">
      <c r="A38" s="5" t="s">
        <v>16</v>
      </c>
      <c r="B38" s="5" t="s">
        <v>36</v>
      </c>
      <c r="C38" s="5" t="s">
        <v>37</v>
      </c>
      <c r="D38" s="5" t="s">
        <v>19</v>
      </c>
      <c r="E38" s="5" t="s">
        <v>20</v>
      </c>
      <c r="F38" s="5" t="s">
        <v>38</v>
      </c>
      <c r="G38" s="5" t="s">
        <v>21</v>
      </c>
      <c r="H38" s="5" t="s">
        <v>22</v>
      </c>
      <c r="I38" s="5" t="s">
        <v>23</v>
      </c>
      <c r="J38" s="5" t="s">
        <v>32</v>
      </c>
      <c r="K38" s="6">
        <v>40</v>
      </c>
      <c r="L38" s="7">
        <v>5230</v>
      </c>
      <c r="M38" s="8">
        <v>5495</v>
      </c>
      <c r="N38" s="5">
        <v>2</v>
      </c>
      <c r="O38" s="5">
        <v>103</v>
      </c>
      <c r="P38" s="5">
        <f>(budget_complete[[#This Row],[volume 40ft]]*2)+budget_complete[[#This Row],[volume 20ft]]</f>
        <v>208</v>
      </c>
      <c r="Q38" s="8">
        <f>budget_complete[[#This Row],[20ft RLT/HORSE]]*budget_complete[[#This Row],[volume 20ft]]</f>
        <v>10460</v>
      </c>
      <c r="R38" s="8">
        <f>budget_complete[[#This Row],[40ft RLT/HORSE]]*budget_complete[[#This Row],[volume 40ft]]</f>
        <v>565985</v>
      </c>
    </row>
    <row r="39" spans="1:18" x14ac:dyDescent="0.25">
      <c r="A39" s="5" t="s">
        <v>16</v>
      </c>
      <c r="B39" s="9" t="s">
        <v>71</v>
      </c>
      <c r="C39" s="5" t="s">
        <v>68</v>
      </c>
      <c r="D39" s="5" t="s">
        <v>19</v>
      </c>
      <c r="E39" s="5" t="s">
        <v>20</v>
      </c>
      <c r="F39" s="5" t="s">
        <v>47</v>
      </c>
      <c r="G39" s="5" t="s">
        <v>21</v>
      </c>
      <c r="H39" s="5" t="s">
        <v>48</v>
      </c>
      <c r="I39" s="5" t="s">
        <v>58</v>
      </c>
      <c r="J39" s="5" t="s">
        <v>49</v>
      </c>
      <c r="K39" s="6">
        <v>35</v>
      </c>
      <c r="L39" s="11">
        <v>1499</v>
      </c>
      <c r="M39" s="10">
        <v>1499</v>
      </c>
      <c r="N39" s="5">
        <v>2</v>
      </c>
      <c r="O39" s="5">
        <v>5</v>
      </c>
      <c r="P39" s="5">
        <f>(budget_complete[[#This Row],[volume 40ft]]*2)+budget_complete[[#This Row],[volume 20ft]]</f>
        <v>12</v>
      </c>
      <c r="Q39" s="8">
        <f>budget_complete[[#This Row],[20ft RLT/HORSE]]*budget_complete[[#This Row],[volume 20ft]]</f>
        <v>2998</v>
      </c>
      <c r="R39" s="8">
        <f>budget_complete[[#This Row],[40ft RLT/HORSE]]*budget_complete[[#This Row],[volume 40ft]]</f>
        <v>7495</v>
      </c>
    </row>
    <row r="40" spans="1:18" x14ac:dyDescent="0.25">
      <c r="A40" s="5" t="s">
        <v>16</v>
      </c>
      <c r="B40" s="5" t="s">
        <v>40</v>
      </c>
      <c r="C40" s="5" t="s">
        <v>41</v>
      </c>
      <c r="D40" s="5" t="s">
        <v>19</v>
      </c>
      <c r="E40" s="5" t="s">
        <v>20</v>
      </c>
      <c r="F40" s="5" t="s">
        <v>21</v>
      </c>
      <c r="G40" s="5" t="s">
        <v>21</v>
      </c>
      <c r="H40" s="5" t="s">
        <v>48</v>
      </c>
      <c r="I40" s="5" t="s">
        <v>23</v>
      </c>
      <c r="J40" s="5" t="s">
        <v>44</v>
      </c>
      <c r="K40" s="6">
        <v>43</v>
      </c>
      <c r="L40" s="10">
        <v>568.48</v>
      </c>
      <c r="M40" s="11">
        <v>624.79999999999995</v>
      </c>
      <c r="N40" s="5">
        <v>2</v>
      </c>
      <c r="O40" s="5">
        <v>200</v>
      </c>
      <c r="P40" s="5">
        <f>(budget_complete[[#This Row],[volume 40ft]]*2)+budget_complete[[#This Row],[volume 20ft]]</f>
        <v>402</v>
      </c>
      <c r="Q40" s="8">
        <f>budget_complete[[#This Row],[20ft RLT/HORSE]]*budget_complete[[#This Row],[volume 20ft]]</f>
        <v>1136.96</v>
      </c>
      <c r="R40" s="8">
        <f>budget_complete[[#This Row],[40ft RLT/HORSE]]*budget_complete[[#This Row],[volume 40ft]]</f>
        <v>124959.99999999999</v>
      </c>
    </row>
    <row r="41" spans="1:18" ht="15" customHeight="1" x14ac:dyDescent="0.25">
      <c r="A41" s="21" t="s">
        <v>16</v>
      </c>
      <c r="B41" s="21" t="s">
        <v>36</v>
      </c>
      <c r="C41" s="21" t="s">
        <v>37</v>
      </c>
      <c r="D41" s="21" t="s">
        <v>59</v>
      </c>
      <c r="E41" s="21" t="s">
        <v>35</v>
      </c>
      <c r="F41" s="21" t="s">
        <v>38</v>
      </c>
      <c r="G41" s="21" t="s">
        <v>21</v>
      </c>
      <c r="H41" s="21" t="s">
        <v>22</v>
      </c>
      <c r="I41" s="21" t="s">
        <v>23</v>
      </c>
      <c r="J41" s="21" t="s">
        <v>32</v>
      </c>
      <c r="K41" s="22">
        <v>50</v>
      </c>
      <c r="L41" s="11">
        <v>4150</v>
      </c>
      <c r="M41" s="11">
        <v>5350</v>
      </c>
      <c r="N41" s="21">
        <v>2</v>
      </c>
      <c r="O41" s="21">
        <v>15</v>
      </c>
      <c r="P41" s="21">
        <f>(budget_complete[[#This Row],[volume 40ft]]*2)+budget_complete[[#This Row],[volume 20ft]]</f>
        <v>32</v>
      </c>
      <c r="Q41" s="12">
        <f>budget_complete[[#This Row],[20ft RLT/HORSE]]*budget_complete[[#This Row],[volume 20ft]]</f>
        <v>8300</v>
      </c>
      <c r="R41" s="12">
        <f>budget_complete[[#This Row],[40ft RLT/HORSE]]*budget_complete[[#This Row],[volume 40ft]]</f>
        <v>80250</v>
      </c>
    </row>
    <row r="42" spans="1:18" ht="15" customHeight="1" x14ac:dyDescent="0.25">
      <c r="A42" s="5" t="s">
        <v>16</v>
      </c>
      <c r="B42" s="5" t="s">
        <v>34</v>
      </c>
      <c r="C42" s="5" t="s">
        <v>35</v>
      </c>
      <c r="D42" s="5" t="s">
        <v>19</v>
      </c>
      <c r="E42" s="5" t="s">
        <v>20</v>
      </c>
      <c r="F42" s="5" t="s">
        <v>21</v>
      </c>
      <c r="G42" s="5" t="s">
        <v>21</v>
      </c>
      <c r="H42" s="5" t="s">
        <v>48</v>
      </c>
      <c r="I42" s="5" t="s">
        <v>23</v>
      </c>
      <c r="J42" s="5" t="s">
        <v>32</v>
      </c>
      <c r="K42" s="6">
        <v>34</v>
      </c>
      <c r="L42" s="8">
        <v>878.24</v>
      </c>
      <c r="M42" s="10">
        <v>496.32</v>
      </c>
      <c r="N42" s="5">
        <v>5</v>
      </c>
      <c r="O42" s="5">
        <v>52</v>
      </c>
      <c r="P42" s="5">
        <f>(budget_complete[[#This Row],[volume 40ft]]*2)+budget_complete[[#This Row],[volume 20ft]]</f>
        <v>109</v>
      </c>
      <c r="Q42" s="12">
        <f>budget_complete[[#This Row],[20ft RLT/HORSE]]*budget_complete[[#This Row],[volume 20ft]]</f>
        <v>4391.2</v>
      </c>
      <c r="R42" s="12">
        <f>budget_complete[[#This Row],[40ft RLT/HORSE]]*budget_complete[[#This Row],[volume 40ft]]</f>
        <v>25808.639999999999</v>
      </c>
    </row>
    <row r="43" spans="1:18" ht="15" customHeight="1" x14ac:dyDescent="0.25">
      <c r="A43" s="15" t="s">
        <v>16</v>
      </c>
      <c r="B43" s="15" t="s">
        <v>42</v>
      </c>
      <c r="C43" s="15" t="s">
        <v>37</v>
      </c>
      <c r="D43" s="15" t="s">
        <v>40</v>
      </c>
      <c r="E43" s="15" t="s">
        <v>41</v>
      </c>
      <c r="F43" s="15" t="s">
        <v>84</v>
      </c>
      <c r="G43" s="15" t="s">
        <v>21</v>
      </c>
      <c r="H43" s="15" t="s">
        <v>22</v>
      </c>
      <c r="I43" s="15" t="s">
        <v>23</v>
      </c>
      <c r="J43" s="15" t="s">
        <v>69</v>
      </c>
      <c r="K43" s="16">
        <v>58</v>
      </c>
      <c r="L43" s="7">
        <v>3250</v>
      </c>
      <c r="M43" s="7">
        <v>4350</v>
      </c>
      <c r="N43" s="15">
        <v>4</v>
      </c>
      <c r="O43" s="15">
        <v>24</v>
      </c>
      <c r="P43" s="15">
        <f>(budget_complete[[#This Row],[volume 40ft]]*2)+budget_complete[[#This Row],[volume 20ft]]</f>
        <v>52</v>
      </c>
      <c r="Q43" s="8">
        <f>budget_complete[[#This Row],[20ft RLT/HORSE]]*budget_complete[[#This Row],[volume 20ft]]</f>
        <v>13000</v>
      </c>
      <c r="R43" s="8">
        <f>budget_complete[[#This Row],[40ft RLT/HORSE]]*budget_complete[[#This Row],[volume 40ft]]</f>
        <v>104400</v>
      </c>
    </row>
    <row r="44" spans="1:18" ht="15" customHeight="1" x14ac:dyDescent="0.25">
      <c r="A44" s="5" t="s">
        <v>16</v>
      </c>
      <c r="B44" s="5" t="s">
        <v>42</v>
      </c>
      <c r="C44" s="5" t="s">
        <v>37</v>
      </c>
      <c r="D44" s="5" t="s">
        <v>50</v>
      </c>
      <c r="E44" s="5" t="s">
        <v>18</v>
      </c>
      <c r="F44" s="5" t="s">
        <v>84</v>
      </c>
      <c r="G44" s="5" t="s">
        <v>21</v>
      </c>
      <c r="H44" s="5" t="s">
        <v>22</v>
      </c>
      <c r="I44" s="5" t="s">
        <v>23</v>
      </c>
      <c r="J44" s="5" t="s">
        <v>49</v>
      </c>
      <c r="K44" s="6">
        <v>45</v>
      </c>
      <c r="L44" s="10">
        <v>2930</v>
      </c>
      <c r="M44" s="10">
        <v>3600</v>
      </c>
      <c r="N44" s="5">
        <v>2</v>
      </c>
      <c r="O44" s="5">
        <v>20</v>
      </c>
      <c r="P44" s="5">
        <f>(budget_complete[[#This Row],[volume 40ft]]*2)+budget_complete[[#This Row],[volume 20ft]]</f>
        <v>42</v>
      </c>
      <c r="Q44" s="12">
        <f>budget_complete[[#This Row],[20ft RLT/HORSE]]*budget_complete[[#This Row],[volume 20ft]]</f>
        <v>5860</v>
      </c>
      <c r="R44" s="12">
        <f>budget_complete[[#This Row],[40ft RLT/HORSE]]*budget_complete[[#This Row],[volume 40ft]]</f>
        <v>72000</v>
      </c>
    </row>
    <row r="45" spans="1:18" ht="15" customHeight="1" x14ac:dyDescent="0.25">
      <c r="A45" s="5" t="s">
        <v>16</v>
      </c>
      <c r="B45" s="5" t="s">
        <v>53</v>
      </c>
      <c r="C45" s="5" t="s">
        <v>54</v>
      </c>
      <c r="D45" s="5" t="s">
        <v>19</v>
      </c>
      <c r="E45" s="5" t="s">
        <v>20</v>
      </c>
      <c r="F45" s="5" t="s">
        <v>47</v>
      </c>
      <c r="G45" s="5" t="s">
        <v>21</v>
      </c>
      <c r="H45" s="5" t="s">
        <v>48</v>
      </c>
      <c r="I45" s="5" t="s">
        <v>23</v>
      </c>
      <c r="J45" s="5" t="s">
        <v>44</v>
      </c>
      <c r="K45" s="6">
        <v>24</v>
      </c>
      <c r="L45" s="14">
        <v>273.68</v>
      </c>
      <c r="M45" s="10">
        <v>330</v>
      </c>
      <c r="N45" s="5">
        <v>2</v>
      </c>
      <c r="O45" s="5">
        <v>70</v>
      </c>
      <c r="P45" s="5">
        <f>(budget_complete[[#This Row],[volume 40ft]]*2)+budget_complete[[#This Row],[volume 20ft]]</f>
        <v>142</v>
      </c>
      <c r="Q45" s="8">
        <f>budget_complete[[#This Row],[20ft RLT/HORSE]]*budget_complete[[#This Row],[volume 20ft]]</f>
        <v>547.36</v>
      </c>
      <c r="R45" s="8">
        <f>budget_complete[[#This Row],[40ft RLT/HORSE]]*budget_complete[[#This Row],[volume 40ft]]</f>
        <v>23100</v>
      </c>
    </row>
    <row r="46" spans="1:18" s="17" customFormat="1" ht="15" customHeight="1" x14ac:dyDescent="0.25">
      <c r="A46" s="17" t="s">
        <v>16</v>
      </c>
      <c r="B46" s="17" t="s">
        <v>45</v>
      </c>
      <c r="C46" s="17" t="s">
        <v>46</v>
      </c>
      <c r="D46" s="17" t="s">
        <v>50</v>
      </c>
      <c r="E46" s="17" t="s">
        <v>18</v>
      </c>
      <c r="F46" s="17" t="s">
        <v>47</v>
      </c>
      <c r="G46" s="17" t="s">
        <v>21</v>
      </c>
      <c r="H46" s="17" t="s">
        <v>48</v>
      </c>
      <c r="I46" s="17" t="s">
        <v>23</v>
      </c>
      <c r="J46" s="17" t="s">
        <v>24</v>
      </c>
      <c r="K46" s="18">
        <v>50</v>
      </c>
      <c r="L46" s="19">
        <v>2500</v>
      </c>
      <c r="M46" s="19">
        <v>3500</v>
      </c>
      <c r="N46" s="17">
        <v>2</v>
      </c>
      <c r="O46" s="17">
        <v>5</v>
      </c>
      <c r="P46" s="17">
        <f>(budget_complete[[#This Row],[volume 40ft]]*2)+budget_complete[[#This Row],[volume 20ft]]</f>
        <v>12</v>
      </c>
      <c r="Q46" s="20">
        <f>budget_complete[[#This Row],[20ft RLT/HORSE]]*budget_complete[[#This Row],[volume 20ft]]</f>
        <v>5000</v>
      </c>
      <c r="R46" s="20">
        <f>budget_complete[[#This Row],[40ft RLT/HORSE]]*budget_complete[[#This Row],[volume 40ft]]</f>
        <v>17500</v>
      </c>
    </row>
    <row r="47" spans="1:18" ht="15" customHeight="1" x14ac:dyDescent="0.25">
      <c r="A47" s="5" t="s">
        <v>25</v>
      </c>
      <c r="B47" s="5" t="s">
        <v>51</v>
      </c>
      <c r="C47" s="5" t="s">
        <v>52</v>
      </c>
      <c r="D47" s="5" t="s">
        <v>42</v>
      </c>
      <c r="E47" s="5" t="s">
        <v>37</v>
      </c>
      <c r="F47" s="5" t="s">
        <v>21</v>
      </c>
      <c r="G47" s="5" t="s">
        <v>43</v>
      </c>
      <c r="H47" s="5" t="s">
        <v>22</v>
      </c>
      <c r="I47" s="5" t="s">
        <v>31</v>
      </c>
      <c r="J47" s="5" t="s">
        <v>39</v>
      </c>
      <c r="K47" s="6">
        <v>55</v>
      </c>
      <c r="L47" s="11">
        <v>995</v>
      </c>
      <c r="M47" s="11">
        <v>1195</v>
      </c>
      <c r="N47" s="5">
        <v>2</v>
      </c>
      <c r="O47" s="5">
        <v>31</v>
      </c>
      <c r="P47" s="5">
        <f>(budget_complete[[#This Row],[volume 40ft]]*2)+budget_complete[[#This Row],[volume 20ft]]</f>
        <v>64</v>
      </c>
      <c r="Q47" s="8">
        <f>budget_complete[[#This Row],[20ft RLT/HORSE]]*budget_complete[[#This Row],[volume 20ft]]</f>
        <v>1990</v>
      </c>
      <c r="R47" s="8">
        <f>budget_complete[[#This Row],[40ft RLT/HORSE]]*budget_complete[[#This Row],[volume 40ft]]</f>
        <v>37045</v>
      </c>
    </row>
    <row r="48" spans="1:18" ht="15" customHeight="1" x14ac:dyDescent="0.25">
      <c r="A48" s="5" t="s">
        <v>16</v>
      </c>
      <c r="B48" s="5" t="s">
        <v>53</v>
      </c>
      <c r="C48" s="5" t="s">
        <v>54</v>
      </c>
      <c r="D48" s="5" t="s">
        <v>26</v>
      </c>
      <c r="E48" s="5" t="s">
        <v>27</v>
      </c>
      <c r="F48" s="5" t="s">
        <v>47</v>
      </c>
      <c r="G48" s="5" t="s">
        <v>21</v>
      </c>
      <c r="H48" s="5" t="s">
        <v>48</v>
      </c>
      <c r="I48" s="5" t="s">
        <v>23</v>
      </c>
      <c r="J48" s="5" t="s">
        <v>24</v>
      </c>
      <c r="K48" s="6">
        <v>30</v>
      </c>
      <c r="L48" s="11">
        <v>900</v>
      </c>
      <c r="M48" s="11">
        <v>1500</v>
      </c>
      <c r="N48" s="5">
        <v>2</v>
      </c>
      <c r="O48" s="5">
        <v>74</v>
      </c>
      <c r="P48" s="5">
        <f>(budget_complete[[#This Row],[volume 40ft]]*2)+budget_complete[[#This Row],[volume 20ft]]</f>
        <v>150</v>
      </c>
      <c r="Q48" s="8">
        <f>budget_complete[[#This Row],[20ft RLT/HORSE]]*budget_complete[[#This Row],[volume 20ft]]</f>
        <v>1800</v>
      </c>
      <c r="R48" s="8">
        <f>budget_complete[[#This Row],[40ft RLT/HORSE]]*budget_complete[[#This Row],[volume 40ft]]</f>
        <v>111000</v>
      </c>
    </row>
    <row r="49" spans="1:18" ht="15" customHeight="1" x14ac:dyDescent="0.25">
      <c r="A49" s="5" t="s">
        <v>25</v>
      </c>
      <c r="B49" s="5" t="s">
        <v>40</v>
      </c>
      <c r="C49" s="5" t="s">
        <v>41</v>
      </c>
      <c r="D49" s="5" t="s">
        <v>42</v>
      </c>
      <c r="E49" s="5" t="s">
        <v>37</v>
      </c>
      <c r="F49" s="5" t="s">
        <v>21</v>
      </c>
      <c r="G49" s="5" t="s">
        <v>43</v>
      </c>
      <c r="H49" s="5" t="s">
        <v>22</v>
      </c>
      <c r="I49" s="5" t="s">
        <v>31</v>
      </c>
      <c r="J49" s="5" t="s">
        <v>44</v>
      </c>
      <c r="K49" s="6">
        <v>69</v>
      </c>
      <c r="L49" s="10">
        <v>1155</v>
      </c>
      <c r="M49" s="11">
        <v>1330</v>
      </c>
      <c r="N49" s="5">
        <v>2</v>
      </c>
      <c r="O49" s="5">
        <v>28</v>
      </c>
      <c r="P49" s="5">
        <f>(budget_complete[[#This Row],[volume 40ft]]*2)+budget_complete[[#This Row],[volume 20ft]]</f>
        <v>58</v>
      </c>
      <c r="Q49" s="8">
        <f>budget_complete[[#This Row],[20ft RLT/HORSE]]*budget_complete[[#This Row],[volume 20ft]]</f>
        <v>2310</v>
      </c>
      <c r="R49" s="8">
        <f>budget_complete[[#This Row],[40ft RLT/HORSE]]*budget_complete[[#This Row],[volume 40ft]]</f>
        <v>37240</v>
      </c>
    </row>
    <row r="50" spans="1:18" ht="15" customHeight="1" x14ac:dyDescent="0.25">
      <c r="A50" s="5" t="s">
        <v>16</v>
      </c>
      <c r="B50" s="5" t="s">
        <v>53</v>
      </c>
      <c r="C50" s="5" t="s">
        <v>54</v>
      </c>
      <c r="D50" s="5" t="s">
        <v>19</v>
      </c>
      <c r="E50" s="5" t="s">
        <v>20</v>
      </c>
      <c r="F50" s="5" t="s">
        <v>47</v>
      </c>
      <c r="G50" s="5" t="s">
        <v>21</v>
      </c>
      <c r="H50" s="5" t="s">
        <v>48</v>
      </c>
      <c r="I50" s="5" t="s">
        <v>23</v>
      </c>
      <c r="J50" s="5" t="s">
        <v>24</v>
      </c>
      <c r="K50" s="6">
        <v>20</v>
      </c>
      <c r="L50" s="11">
        <v>600</v>
      </c>
      <c r="M50" s="11">
        <v>900</v>
      </c>
      <c r="N50" s="5">
        <v>2</v>
      </c>
      <c r="O50" s="5">
        <v>89</v>
      </c>
      <c r="P50" s="5">
        <f>(budget_complete[[#This Row],[volume 40ft]]*2)+budget_complete[[#This Row],[volume 20ft]]</f>
        <v>180</v>
      </c>
      <c r="Q50" s="8">
        <f>budget_complete[[#This Row],[20ft RLT/HORSE]]*budget_complete[[#This Row],[volume 20ft]]</f>
        <v>1200</v>
      </c>
      <c r="R50" s="8">
        <f>budget_complete[[#This Row],[40ft RLT/HORSE]]*budget_complete[[#This Row],[volume 40ft]]</f>
        <v>80100</v>
      </c>
    </row>
    <row r="51" spans="1:18" ht="15" customHeight="1" x14ac:dyDescent="0.25">
      <c r="A51" s="5" t="s">
        <v>25</v>
      </c>
      <c r="B51" s="5" t="s">
        <v>34</v>
      </c>
      <c r="C51" s="5" t="s">
        <v>35</v>
      </c>
      <c r="D51" s="5" t="s">
        <v>36</v>
      </c>
      <c r="E51" s="5" t="s">
        <v>37</v>
      </c>
      <c r="F51" s="5" t="s">
        <v>21</v>
      </c>
      <c r="G51" s="5" t="s">
        <v>38</v>
      </c>
      <c r="H51" s="5" t="s">
        <v>22</v>
      </c>
      <c r="I51" s="5" t="s">
        <v>31</v>
      </c>
      <c r="J51" s="5" t="s">
        <v>39</v>
      </c>
      <c r="K51" s="6">
        <v>58</v>
      </c>
      <c r="L51" s="11">
        <v>1875</v>
      </c>
      <c r="M51" s="10">
        <v>1500</v>
      </c>
      <c r="N51" s="5">
        <v>2</v>
      </c>
      <c r="O51" s="5">
        <v>80</v>
      </c>
      <c r="P51" s="5">
        <f>(budget_complete[[#This Row],[volume 40ft]]*2)+budget_complete[[#This Row],[volume 20ft]]</f>
        <v>162</v>
      </c>
      <c r="Q51" s="8">
        <f>budget_complete[[#This Row],[20ft RLT/HORSE]]*budget_complete[[#This Row],[volume 20ft]]</f>
        <v>3750</v>
      </c>
      <c r="R51" s="8">
        <f>budget_complete[[#This Row],[40ft RLT/HORSE]]*budget_complete[[#This Row],[volume 40ft]]</f>
        <v>120000</v>
      </c>
    </row>
    <row r="53" spans="1:18" x14ac:dyDescent="0.25">
      <c r="K53" s="2"/>
      <c r="L53" s="2"/>
    </row>
    <row r="54" spans="1:18" x14ac:dyDescent="0.25">
      <c r="K54" s="2"/>
      <c r="L54" s="2"/>
    </row>
    <row r="55" spans="1:18" hidden="1" x14ac:dyDescent="0.25">
      <c r="K55" s="2"/>
      <c r="L55" s="2"/>
    </row>
    <row r="56" spans="1:18" hidden="1" x14ac:dyDescent="0.25">
      <c r="E56" t="s">
        <v>72</v>
      </c>
      <c r="F56" t="s">
        <v>73</v>
      </c>
      <c r="G56" t="s">
        <v>74</v>
      </c>
      <c r="J56" s="3"/>
      <c r="K56" s="3"/>
      <c r="L56" s="2"/>
    </row>
    <row r="57" spans="1:18" hidden="1" x14ac:dyDescent="0.25">
      <c r="E57" t="s">
        <v>75</v>
      </c>
      <c r="F57" t="s">
        <v>76</v>
      </c>
      <c r="G57">
        <v>3672</v>
      </c>
      <c r="J57" s="4">
        <f>2100/4867</f>
        <v>0.43147729607561125</v>
      </c>
      <c r="K57" s="2"/>
      <c r="L57" s="2"/>
    </row>
    <row r="58" spans="1:18" hidden="1" x14ac:dyDescent="0.25">
      <c r="E58" t="s">
        <v>75</v>
      </c>
      <c r="F58" t="s">
        <v>77</v>
      </c>
      <c r="G58">
        <v>1878</v>
      </c>
      <c r="K58" s="2"/>
      <c r="L58" s="2"/>
    </row>
    <row r="59" spans="1:18" hidden="1" x14ac:dyDescent="0.25">
      <c r="E59" t="s">
        <v>75</v>
      </c>
      <c r="F59" t="s">
        <v>75</v>
      </c>
      <c r="G59">
        <v>348</v>
      </c>
    </row>
    <row r="60" spans="1:18" hidden="1" x14ac:dyDescent="0.25">
      <c r="E60" t="s">
        <v>76</v>
      </c>
      <c r="F60" t="s">
        <v>75</v>
      </c>
      <c r="G60">
        <v>632</v>
      </c>
    </row>
    <row r="61" spans="1:18" hidden="1" x14ac:dyDescent="0.25">
      <c r="E61" t="s">
        <v>76</v>
      </c>
      <c r="F61" t="s">
        <v>77</v>
      </c>
      <c r="G61">
        <v>1483</v>
      </c>
    </row>
    <row r="62" spans="1:18" hidden="1" x14ac:dyDescent="0.25">
      <c r="E62" t="s">
        <v>76</v>
      </c>
      <c r="F62" t="s">
        <v>76</v>
      </c>
      <c r="G62">
        <v>48</v>
      </c>
    </row>
    <row r="63" spans="1:18" hidden="1" x14ac:dyDescent="0.25">
      <c r="E63" t="s">
        <v>77</v>
      </c>
      <c r="F63" t="s">
        <v>75</v>
      </c>
      <c r="G63">
        <v>196</v>
      </c>
    </row>
    <row r="64" spans="1:18" hidden="1" x14ac:dyDescent="0.25">
      <c r="E64" t="s">
        <v>77</v>
      </c>
      <c r="F64" t="s">
        <v>76</v>
      </c>
      <c r="G64">
        <v>492</v>
      </c>
    </row>
    <row r="65" spans="5:7" hidden="1" x14ac:dyDescent="0.25">
      <c r="E65" t="s">
        <v>77</v>
      </c>
      <c r="F65" t="s">
        <v>77</v>
      </c>
      <c r="G65">
        <v>364</v>
      </c>
    </row>
    <row r="66" spans="5:7" x14ac:dyDescent="0.25"/>
  </sheetData>
  <pageMargins left="0.7" right="0.7" top="0.75" bottom="0.75" header="0.3" footer="0.3"/>
  <headerFooter>
    <oddFooter>&amp;C_x000D_&amp;1#&amp;"Aptos"&amp;12&amp;K0000FF Internal Use</oddFooter>
  </headerFooter>
  <legacyDrawing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budget 2026-2027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PAZOS RECIO Luis</dc:creator>
  <cp:lastModifiedBy>OLMEDO GALVEZ Jorge Luis</cp:lastModifiedBy>
  <dcterms:created xsi:type="dcterms:W3CDTF">2026-05-26T07:49:31Z</dcterms:created>
  <dcterms:modified xsi:type="dcterms:W3CDTF">2026-09-22T11:36:15Z</dcterms:modified>
</cp:coreProperties>
</file>